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8336de277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2b787047b2c44286"/>
    <x:sheet xmlns:r="http://schemas.openxmlformats.org/officeDocument/2006/relationships" name="Worked Inputs" sheetId="2" r:id="Rd329ea6749eb4da7"/>
    <x:sheet xmlns:r="http://schemas.openxmlformats.org/officeDocument/2006/relationships" name="Blank Template" sheetId="3" r:id="R282ffad62c0a48f6"/>
    <x:sheet xmlns:r="http://schemas.openxmlformats.org/officeDocument/2006/relationships" name="Decision Summary" sheetId="4" r:id="Rcbb8ee4a6bc2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3313D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1731"/>
      </x:patternFill>
    </x:fill>
    <x:fill>
      <x:patternFill patternType="solid">
        <x:fgColor rgb="FFE8DDD5"/>
      </x:patternFill>
    </x:fill>
    <x:fill>
      <x:patternFill patternType="solid">
        <x:fgColor rgb="FFB38A52"/>
      </x:patternFill>
    </x:fill>
    <x:fill>
      <x:patternFill patternType="solid">
        <x:fgColor rgb="FFF7F3EF"/>
      </x:patternFill>
    </x:fill>
    <x:fill>
      <x:patternFill patternType="solid">
        <x:fgColor rgb="FFFFF3CD"/>
      </x:patternFill>
    </x:fill>
  </x:fills>
  <x:borders count="36">
    <x:border/>
    <x:border/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re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re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re" wrapText="1"/>
    </x:xf>
    <x:xf numFmtId="0" fontId="2" fillId="3" borderId="3" xfId="0" applyNumberFormat="1" applyFont="1" applyFill="1" applyBorder="1" applyAlignment="1">
      <x:alignment horizontal="centre" wrapText="1"/>
    </x:xf>
    <x:xf numFmtId="0" fontId="2" fillId="3" borderId="4" xfId="0" applyNumberFormat="1" applyFont="1" applyFill="1" applyBorder="1" applyAlignment="1">
      <x:alignment horizontal="centre" wrapText="1"/>
    </x:xf>
    <x:xf numFmtId="0" fontId="2" fillId="3" borderId="2" xfId="0" applyNumberFormat="1" applyFont="1" applyFill="1" applyBorder="1" applyAlignment="1">
      <x:alignment horizontal="centre" vertical="centre" wrapText="1"/>
    </x:xf>
    <x:xf numFmtId="0" fontId="2" fillId="3" borderId="3" xfId="0" applyNumberFormat="1" applyFont="1" applyFill="1" applyBorder="1" applyAlignment="1">
      <x:alignment horizontal="centre" vertical="centre" wrapText="1"/>
    </x:xf>
    <x:xf numFmtId="0" fontId="2" fillId="3" borderId="4" xfId="0" applyNumberFormat="1" applyFont="1" applyFill="1" applyBorder="1" applyAlignment="1">
      <x:alignment horizontal="centre" vertical="centre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re" wrapText="1"/>
    </x:xf>
    <x:xf numFmtId="0" fontId="2" fillId="3" borderId="6" xfId="0" applyNumberFormat="1" applyFont="1" applyFill="1" applyBorder="1" applyAlignment="1">
      <x:alignment horizontal="centre" wrapText="1"/>
    </x:xf>
    <x:xf numFmtId="0" fontId="2" fillId="3" borderId="7" xfId="0" applyNumberFormat="1" applyFont="1" applyFill="1" applyBorder="1" applyAlignment="1">
      <x:alignment horizontal="centre" wrapText="1"/>
    </x:xf>
    <x:xf numFmtId="0" fontId="2" fillId="3" borderId="5" xfId="0" applyNumberFormat="1" applyFont="1" applyFill="1" applyBorder="1" applyAlignment="1">
      <x:alignment horizontal="centre" vertical="centre" wrapText="1"/>
    </x:xf>
    <x:xf numFmtId="0" fontId="2" fillId="3" borderId="6" xfId="0" applyNumberFormat="1" applyFont="1" applyFill="1" applyBorder="1" applyAlignment="1">
      <x:alignment horizontal="centre" vertical="centre" wrapText="1"/>
    </x:xf>
    <x:xf numFmtId="0" fontId="2" fillId="3" borderId="7" xfId="0" applyNumberFormat="1" applyFont="1" applyFill="1" applyBorder="1" applyAlignment="1">
      <x:alignment horizontal="centre" vertical="centre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re" wrapText="1"/>
    </x:xf>
    <x:xf numFmtId="0" fontId="2" fillId="3" borderId="15" xfId="0" applyNumberFormat="1" applyFont="1" applyFill="1" applyBorder="1" applyAlignment="1">
      <x:alignment horizontal="centre" wrapText="1"/>
    </x:xf>
    <x:xf numFmtId="0" fontId="2" fillId="3" borderId="16" xfId="0" applyNumberFormat="1" applyFont="1" applyFill="1" applyBorder="1" applyAlignment="1">
      <x:alignment horizontal="centre" wrapText="1"/>
    </x:xf>
    <x:xf numFmtId="0" fontId="2" fillId="3" borderId="14" xfId="0" applyNumberFormat="1" applyFont="1" applyFill="1" applyBorder="1" applyAlignment="1">
      <x:alignment horizontal="centre" vertical="centre" wrapText="1"/>
    </x:xf>
    <x:xf numFmtId="0" fontId="2" fillId="3" borderId="15" xfId="0" applyNumberFormat="1" applyFont="1" applyFill="1" applyBorder="1" applyAlignment="1">
      <x:alignment horizontal="centre" vertical="centre" wrapText="1"/>
    </x:xf>
    <x:xf numFmtId="0" fontId="2" fillId="3" borderId="16" xfId="0" applyNumberFormat="1" applyFont="1" applyFill="1" applyBorder="1" applyAlignment="1">
      <x:alignment horizontal="centre" vertical="centre"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horizontal="centre" wrapText="1"/>
    </x:xf>
    <x:xf numFmtId="0" fontId="2" fillId="3" borderId="18" xfId="0" applyNumberFormat="1" applyFont="1" applyFill="1" applyBorder="1" applyAlignment="1">
      <x:alignment horizontal="centre" wrapText="1"/>
    </x:xf>
    <x:xf numFmtId="0" fontId="2" fillId="3" borderId="19" xfId="0" applyNumberFormat="1" applyFont="1" applyFill="1" applyBorder="1" applyAlignment="1">
      <x:alignment horizontal="centre" wrapText="1"/>
    </x:xf>
    <x:xf numFmtId="0" fontId="2" fillId="3" borderId="17" xfId="0" applyNumberFormat="1" applyFont="1" applyFill="1" applyBorder="1" applyAlignment="1">
      <x:alignment horizontal="centre" vertical="centre" wrapText="1"/>
    </x:xf>
    <x:xf numFmtId="0" fontId="2" fillId="3" borderId="18" xfId="0" applyNumberFormat="1" applyFont="1" applyFill="1" applyBorder="1" applyAlignment="1">
      <x:alignment horizontal="centre" vertical="centre" wrapText="1"/>
    </x:xf>
    <x:xf numFmtId="0" fontId="2" fillId="3" borderId="19" xfId="0" applyNumberFormat="1" applyFont="1" applyFill="1" applyBorder="1" applyAlignment="1">
      <x:alignment horizontal="centre" vertical="centre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fb5aea9cc243e3" /><Relationship Type="http://schemas.openxmlformats.org/officeDocument/2006/relationships/theme" Target="/xl/theme/theme1.xml" Id="Raada50da5c0b4a32" /><Relationship Type="http://schemas.openxmlformats.org/officeDocument/2006/relationships/sharedStrings" Target="/xl/sharedStrings.xml" Id="Re9fec016a4d04e93" /><Relationship Type="http://schemas.openxmlformats.org/officeDocument/2006/relationships/worksheet" Target="/xl/worksheets/sheet1.xml" Id="R2b787047b2c44286" /><Relationship Type="http://schemas.openxmlformats.org/officeDocument/2006/relationships/worksheet" Target="/xl/worksheets/sheet2.xml" Id="Rd329ea6749eb4da7" /><Relationship Type="http://schemas.openxmlformats.org/officeDocument/2006/relationships/worksheet" Target="/xl/worksheets/sheet3.xml" Id="R282ffad62c0a48f6" /><Relationship Type="http://schemas.openxmlformats.org/officeDocument/2006/relationships/worksheet" Target="/xl/worksheets/sheet4.xml" Id="Rcbb8ee4a6bc24e00" 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5" t="str">
        <x:v>Deterioration Alert Under Constrained Review Capacity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1" t="str">
        <x:v>Example ID</x:v>
      </x:c>
      <x:c r="B4" s="42" t="str">
        <x:v>AIHE-CASE03</x:v>
      </x:c>
    </x:row>
    <x:row r="5">
      <x:c r="A5" s="22" t="str">
        <x:v>Chapter</x:v>
      </x:c>
      <x:c r="B5" s="43" t="str">
        <x:v>3: Human–AI Decision Support and Managerial Action</x:v>
      </x:c>
    </x:row>
    <x:row r="6">
      <x:c r="A6" s="22" t="str">
        <x:v>Decision question</x:v>
      </x:c>
      <x:c r="B6" s="43" t="str">
        <x:v>Which alert threshold produces an operationally safe balance between missed deterioration and review burden?</x:v>
      </x:c>
    </x:row>
    <x:row r="7">
      <x:c r="A7" s="22" t="str">
        <x:v>Status</x:v>
      </x:c>
      <x:c r="B7" s="43" t="str">
        <x:v>Synthetic demonstration only</x:v>
      </x:c>
    </x:row>
    <x:row r="8">
      <x:c r="A8" s="22" t="str">
        <x:v>Version</x:v>
      </x:c>
      <x:c r="B8" s="43" t="str">
        <x:v>V1.0</x:v>
      </x:c>
    </x:row>
    <x:row r="9">
      <x:c r="A9" s="22" t="str">
        <x:v>Release date</x:v>
      </x:c>
      <x:c r="B9" s="43" t="str">
        <x:v>2026-08-06</x:v>
      </x:c>
    </x:row>
    <x:row r="10">
      <x:c r="A10" s="22" t="str">
        <x:v>How to use</x:v>
      </x:c>
      <x:c r="B10" s="43" t="str">
        <x:v>Review Worked Inputs and Calculations; compare with Decision Summary; use Blank Template for local adaptation.</x:v>
      </x:c>
    </x:row>
    <x:row r="11">
      <x:c r="A11" s="22" t="str">
        <x:v>Related resources</x:v>
      </x:c>
      <x:c r="B11" s="43" t="str">
        <x:v>AIHE-EX05, AIHE-EX06, AIHE-C04, AIHE-O, AIHE-I</x:v>
      </x:c>
    </x:row>
    <x:row r="12">
      <x:c r="A12" s="23" t="str">
        <x:v>Data protection</x:v>
      </x:c>
      <x:c r="B12" s="44" t="str">
        <x:v>Do not enter identifiable patient information, credentials, private keys, or confidential contract information into uncontrolled copies.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</x:cols>
  <x:sheetData>
    <x:row r="1">
      <x:c r="A1" s="5" t="str">
        <x:v>Worked synthetic inputs and calculations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57" t="str">
        <x:v>Threshold</x:v>
      </x:c>
      <x:c r="B3" s="58" t="str">
        <x:v>Patients/day</x:v>
      </x:c>
      <x:c r="C3" s="58" t="str">
        <x:v>Prevalence</x:v>
      </x:c>
      <x:c r="D3" s="58" t="str">
        <x:v>Sensitivity</x:v>
      </x:c>
      <x:c r="E3" s="58" t="str">
        <x:v>Specificity</x:v>
      </x:c>
      <x:c r="F3" s="59" t="str">
        <x:v>Review capacity/day</x:v>
      </x:c>
      <x:c r="G3" s="57" t="str">
        <x:v>True positives</x:v>
      </x:c>
      <x:c r="H3" s="58" t="str">
        <x:v>False positives</x:v>
      </x:c>
      <x:c r="I3" s="58" t="str">
        <x:v>Total alerts</x:v>
      </x:c>
      <x:c r="J3" s="58" t="str">
        <x:v>Missed cases</x:v>
      </x:c>
      <x:c r="K3" s="59" t="str">
        <x:v>Unreviewed alerts</x:v>
      </x:c>
    </x:row>
    <x:row r="4">
      <x:c r="A4" s="72" t="str">
        <x:v>A - high sensitivity</x:v>
      </x:c>
      <x:c r="B4" s="73" t="n">
        <x:v>250</x:v>
      </x:c>
      <x:c r="C4" s="73" t="n">
        <x:v>0.05</x:v>
      </x:c>
      <x:c r="D4" s="73" t="n">
        <x:v>0.92</x:v>
      </x:c>
      <x:c r="E4" s="73" t="n">
        <x:v>0.55</x:v>
      </x:c>
      <x:c r="F4" s="74" t="n">
        <x:v>35</x:v>
      </x:c>
      <x:c r="G4" s="72" t="n">
        <x:f>B4*C4*D4</x:f>
        <x:v>11.5</x:v>
      </x:c>
      <x:c r="H4" s="73" t="n">
        <x:f>B4*(1-C4)*(1-E4)</x:f>
        <x:v>106.87499999999999</x:v>
      </x:c>
      <x:c r="I4" s="73" t="n">
        <x:f>G4+H4</x:f>
        <x:v>118.37499999999999</x:v>
      </x:c>
      <x:c r="J4" s="73" t="n">
        <x:f>B4*C4*(1-D4)</x:f>
        <x:v>0.9999999999999996</x:v>
      </x:c>
      <x:c r="K4" s="74" t="n">
        <x:f>MAX(0,I4-F4)</x:f>
        <x:v>83.37499999999999</x:v>
      </x:c>
    </x:row>
    <x:row r="5">
      <x:c r="A5" s="75" t="str">
        <x:v>B - balanced</x:v>
      </x:c>
      <x:c r="B5" s="40" t="n">
        <x:v>250</x:v>
      </x:c>
      <x:c r="C5" s="40" t="n">
        <x:v>0.05</x:v>
      </x:c>
      <x:c r="D5" s="40" t="n">
        <x:v>0.82</x:v>
      </x:c>
      <x:c r="E5" s="40" t="n">
        <x:v>0.8</x:v>
      </x:c>
      <x:c r="F5" s="76" t="n">
        <x:v>35</x:v>
      </x:c>
      <x:c r="G5" s="75" t="n">
        <x:f>B5*C5*D5</x:f>
        <x:v>10.25</x:v>
      </x:c>
      <x:c r="H5" s="40" t="n">
        <x:f>B5*(1-C5)*(1-E5)</x:f>
        <x:v>47.49999999999999</x:v>
      </x:c>
      <x:c r="I5" s="40" t="n">
        <x:f>G5+H5</x:f>
        <x:v>57.74999999999999</x:v>
      </x:c>
      <x:c r="J5" s="40" t="n">
        <x:f>B5*C5*(1-D5)</x:f>
        <x:v>2.2500000000000004</x:v>
      </x:c>
      <x:c r="K5" s="76" t="n">
        <x:f>MAX(0,I5-F5)</x:f>
        <x:v>22.749999999999993</x:v>
      </x:c>
    </x:row>
    <x:row r="6">
      <x:c r="A6" s="77" t="str">
        <x:v>C - high specificity</x:v>
      </x:c>
      <x:c r="B6" s="78" t="n">
        <x:v>250</x:v>
      </x:c>
      <x:c r="C6" s="78" t="n">
        <x:v>0.05</x:v>
      </x:c>
      <x:c r="D6" s="78" t="n">
        <x:v>0.72</x:v>
      </x:c>
      <x:c r="E6" s="78" t="n">
        <x:v>0.92</x:v>
      </x:c>
      <x:c r="F6" s="79" t="n">
        <x:v>35</x:v>
      </x:c>
      <x:c r="G6" s="77" t="n">
        <x:f>B6*C6*D6</x:f>
        <x:v>9</x:v>
      </x:c>
      <x:c r="H6" s="78" t="n">
        <x:f>B6*(1-C6)*(1-E6)</x:f>
        <x:v>18.99999999999999</x:v>
      </x:c>
      <x:c r="I6" s="78" t="n">
        <x:f>G6+H6</x:f>
        <x:v>27.99999999999999</x:v>
      </x:c>
      <x:c r="J6" s="78" t="n">
        <x:f>B6*C6*(1-D6)</x:f>
        <x:v>3.5000000000000004</x:v>
      </x:c>
      <x:c r="K6" s="79" t="n">
        <x:f>MAX(0,I6-F6)</x:f>
        <x:v>0</x:v>
      </x:c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5" t="str">
        <x:v>Blank template - replace synthetic values with governed local evidence</x:v>
      </x:c>
      <x:c r="B1" s="5"/>
      <x:c r="C1" s="5"/>
      <x:c r="D1" s="5"/>
      <x:c r="E1" s="5"/>
      <x:c r="F1" s="5"/>
    </x:row>
    <x:row r="3">
      <x:c r="A3" s="57" t="str">
        <x:v>Threshold</x:v>
      </x:c>
      <x:c r="B3" s="58" t="str">
        <x:v>Patients/day</x:v>
      </x:c>
      <x:c r="C3" s="58" t="str">
        <x:v>Prevalence</x:v>
      </x:c>
      <x:c r="D3" s="58" t="str">
        <x:v>Sensitivity</x:v>
      </x:c>
      <x:c r="E3" s="58" t="str">
        <x:v>Specificity</x:v>
      </x:c>
      <x:c r="F3" s="59" t="str">
        <x:v>Review capacity/day</x:v>
      </x:c>
    </x:row>
    <x:row r="4">
      <x:c r="A4" s="72" t="str">
        <x:v>A - high sensitivity</x:v>
      </x:c>
      <x:c r="B4" s="73" t="str"/>
      <x:c r="C4" s="73" t="str"/>
      <x:c r="D4" s="73" t="str"/>
      <x:c r="E4" s="73" t="str"/>
      <x:c r="F4" s="74" t="str"/>
    </x:row>
    <x:row r="5">
      <x:c r="A5" s="75" t="str">
        <x:v>B - balanced</x:v>
      </x:c>
      <x:c r="B5" s="40" t="str"/>
      <x:c r="C5" s="40" t="str"/>
      <x:c r="D5" s="40" t="str"/>
      <x:c r="E5" s="40" t="str"/>
      <x:c r="F5" s="76" t="str"/>
    </x:row>
    <x:row r="6">
      <x:c r="A6" s="77" t="str">
        <x:v>C - high specificity</x:v>
      </x:c>
      <x:c r="B6" s="78" t="str"/>
      <x:c r="C6" s="78" t="str"/>
      <x:c r="D6" s="78" t="str"/>
      <x:c r="E6" s="78" t="str"/>
      <x:c r="F6" s="79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Deterioration Alert Under Constrained Review Capacity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7" t="str">
        <x:v>Reference metric</x:v>
      </x:c>
      <x:c r="B4" s="59" t="str">
        <x:v>Synthetic result</x:v>
      </x:c>
    </x:row>
    <x:row r="5">
      <x:c r="A5" s="72" t="str">
        <x:v>Operationally feasible threshold</x:v>
      </x:c>
      <x:c r="B5" s="74" t="str">
        <x:v>Threshold C under current capacity</x:v>
      </x:c>
    </x:row>
    <x:row r="6">
      <x:c r="A6" s="77" t="str">
        <x:v>Required safeguard</x:v>
      </x:c>
      <x:c r="B6" s="79" t="str">
        <x:v>Structured gray-zone review and missed-case monitoring</x:v>
      </x:c>
    </x:row>
    <x:row r="8">
      <x:c r="A8" s="89" t="str">
        <x:v>Worked interpretation</x:v>
      </x:c>
      <x:c r="B8" s="89"/>
      <x:c r="C8" s="89"/>
      <x:c r="D8" s="89"/>
      <x:c r="E8" s="89"/>
      <x:c r="F8" s="89"/>
    </x:row>
    <x:row r="9">
      <x:c r="A9" s="94" t="str">
        <x:v>Threshold A minimizes missed cases but produces an unmanageable alert load. Threshold B still exceeds review capacity. Threshold C fits current capacity but misses more cases. The initial pilot should therefore use a restricted high-specificity action zone with structured review of a gray zone, explicit missed-case monitoring, and a decision about whether response capacity must be expanded.</x:v>
      </x:c>
      <x:c r="B9" s="94"/>
      <x:c r="C9" s="94"/>
      <x:c r="D9" s="94"/>
      <x:c r="E9" s="94"/>
      <x:c r="F9" s="94"/>
    </x:row>
    <x:row r="10">
      <x:c r="A10" s="94"/>
      <x:c r="B10" s="94"/>
      <x:c r="C10" s="94"/>
      <x:c r="D10" s="94"/>
      <x:c r="E10" s="94"/>
      <x:c r="F10" s="94"/>
    </x:row>
    <x:row r="11">
      <x:c r="A11" s="94"/>
      <x:c r="B11" s="94"/>
      <x:c r="C11" s="94"/>
      <x:c r="D11" s="94"/>
      <x:c r="E11" s="94"/>
      <x:c r="F11" s="94"/>
    </x:row>
    <x:row r="12">
      <x:c r="A12" s="94"/>
      <x:c r="B12" s="94"/>
      <x:c r="C12" s="94"/>
      <x:c r="D12" s="94"/>
      <x:c r="E12" s="94"/>
      <x:c r="F12" s="94"/>
    </x:row>
    <x:row r="13">
      <x:c r="A13" s="94"/>
      <x:c r="B13" s="94"/>
      <x:c r="C13" s="94"/>
      <x:c r="D13" s="94"/>
      <x:c r="E13" s="94"/>
      <x:c r="F13" s="94"/>
    </x:row>
    <x:row r="15">
      <x:c r="A15" s="100" t="str">
        <x:v>Interpret calculations with evidence quality, uncertainty, mandatory safeguards, implementation capacity, monitoring, and exit conditions.</x:v>
      </x:c>
      <x:c r="B15" s="100"/>
      <x:c r="C15" s="100"/>
      <x:c r="D15" s="100"/>
      <x:c r="E15" s="100"/>
      <x:c r="F15" s="100"/>
    </x:row>
  </x:sheetData>
  <x:mergeCells>
    <x:mergeCell ref="A1:F2"/>
    <x:mergeCell ref="A8:F8"/>
    <x:mergeCell ref="A9:F13"/>
    <x:mergeCell ref="A15:F15"/>
  </x:mergeCells>
  <x:pageMargins left="0.7" right="0.7" top="0.75" bottom="0.75" header="0.3" footer="0.3"/>
</x:worksheet>
</file>