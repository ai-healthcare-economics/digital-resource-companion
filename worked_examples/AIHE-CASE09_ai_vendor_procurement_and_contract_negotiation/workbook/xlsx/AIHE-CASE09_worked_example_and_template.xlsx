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ed8d53dd4e4e89" /></Relationships>
</file>

<file path=xl/workbook.xml><?xml version="1.0" encoding="utf-8"?>
<x:workbook xmlns:x="http://schemas.openxmlformats.org/spreadsheetml/2006/main">
  <x:sheets>
    <x:sheet xmlns:r="http://schemas.openxmlformats.org/officeDocument/2006/relationships" name="Guide" sheetId="1" r:id="Re61d11aa8c704f8f"/>
    <x:sheet xmlns:r="http://schemas.openxmlformats.org/officeDocument/2006/relationships" name="Worked Inputs" sheetId="2" r:id="R21b7c427feab4a1a"/>
    <x:sheet xmlns:r="http://schemas.openxmlformats.org/officeDocument/2006/relationships" name="Blank Template" sheetId="3" r:id="Re14a2827c40042b8"/>
    <x:sheet xmlns:r="http://schemas.openxmlformats.org/officeDocument/2006/relationships" name="Decision Summary" sheetId="4" r:id="R5ab399aa6c2b4da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13ada1e5dc4f1d" /><Relationship Type="http://schemas.openxmlformats.org/officeDocument/2006/relationships/theme" Target="/xl/theme/theme1.xml" Id="R697bf86fac8f402f" /><Relationship Type="http://schemas.openxmlformats.org/officeDocument/2006/relationships/sharedStrings" Target="/xl/sharedStrings.xml" Id="Rccd7ac44b08a421f" /><Relationship Type="http://schemas.openxmlformats.org/officeDocument/2006/relationships/worksheet" Target="/xl/worksheets/sheet1.xml" Id="Re61d11aa8c704f8f" /><Relationship Type="http://schemas.openxmlformats.org/officeDocument/2006/relationships/worksheet" Target="/xl/worksheets/sheet2.xml" Id="R21b7c427feab4a1a" /><Relationship Type="http://schemas.openxmlformats.org/officeDocument/2006/relationships/worksheet" Target="/xl/worksheets/sheet3.xml" Id="Re14a2827c40042b8" /><Relationship Type="http://schemas.openxmlformats.org/officeDocument/2006/relationships/worksheet" Target="/xl/worksheets/sheet4.xml" Id="R5ab399aa6c2b4da8"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 Vendor Procurement and Contract Negotiation</x:v>
      </x:c>
      <x:c r="B1" s="5"/>
      <x:c r="C1" s="5"/>
      <x:c r="D1" s="5"/>
      <x:c r="E1" s="5"/>
      <x:c r="F1" s="5"/>
    </x:row>
    <x:row r="2">
      <x:c r="A2" s="5"/>
      <x:c r="B2" s="5"/>
      <x:c r="C2" s="5"/>
      <x:c r="D2" s="5"/>
      <x:c r="E2" s="5"/>
      <x:c r="F2" s="5"/>
    </x:row>
    <x:row r="4">
      <x:c r="A4" s="21" t="str">
        <x:v>Example ID</x:v>
      </x:c>
      <x:c r="B4" s="42" t="str">
        <x:v>AIHE-CASE09</x:v>
      </x:c>
    </x:row>
    <x:row r="5">
      <x:c r="A5" s="22" t="str">
        <x:v>Chapter</x:v>
      </x:c>
      <x:c r="B5" s="43" t="str">
        <x:v>9: Problem-First Procurement and Vendor Governance</x:v>
      </x:c>
    </x:row>
    <x:row r="6">
      <x:c r="A6" s="22" t="str">
        <x:v>Decision question</x:v>
      </x:c>
      <x:c r="B6" s="43" t="str">
        <x:v>How should the hospital compare vendors when a lower price is accompanied by weak audit, security, update, and exit provisions?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AIHE-D01, AIHE-D, AIHE-EX08, AIHE-EX09, AIHE-Q, AIHE-EX17</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 min="11" max="11" width="22" hidden="0" customWidth="1"/>
    <x:col min="12" max="12" width="18" hidden="0" customWidth="1"/>
  </x:cols>
  <x:sheetData>
    <x:row r="1">
      <x:c r="A1" s="5" t="str">
        <x:v>Worked synthetic inputs and calculations</x:v>
      </x:c>
      <x:c r="B1" s="5"/>
      <x:c r="C1" s="5"/>
      <x:c r="D1" s="5"/>
      <x:c r="E1" s="5"/>
      <x:c r="F1" s="5"/>
      <x:c r="G1" s="5"/>
      <x:c r="H1" s="5"/>
      <x:c r="I1" s="5"/>
      <x:c r="J1" s="5"/>
    </x:row>
    <x:row r="3">
      <x:c r="A3" s="57" t="str">
        <x:v>Criterion</x:v>
      </x:c>
      <x:c r="B3" s="58" t="str">
        <x:v>Weight</x:v>
      </x:c>
      <x:c r="C3" s="58" t="str">
        <x:v>Vendor A score</x:v>
      </x:c>
      <x:c r="D3" s="58" t="str">
        <x:v>Vendor B score</x:v>
      </x:c>
      <x:c r="E3" s="59" t="str">
        <x:v>Mandatory</x:v>
      </x:c>
      <x:c r="F3" s="57" t="str">
        <x:v>Vendor A weighted</x:v>
      </x:c>
      <x:c r="G3" s="58" t="str">
        <x:v>Vendor B weighted</x:v>
      </x:c>
      <x:c r="H3" s="58" t="str">
        <x:v>A safeguard failure</x:v>
      </x:c>
      <x:c r="I3" s="59" t="str">
        <x:v>B safeguard failure</x:v>
      </x:c>
      <x:c r="K3" s="57" t="str">
        <x:v>Summary</x:v>
      </x:c>
      <x:c r="L3" s="59" t="str">
        <x:v>Formula result</x:v>
      </x:c>
    </x:row>
    <x:row r="4">
      <x:c r="A4" s="72" t="str">
        <x:v>Problem and workflow fit</x:v>
      </x:c>
      <x:c r="B4" s="73" t="n">
        <x:v>0.15</x:v>
      </x:c>
      <x:c r="C4" s="73" t="n">
        <x:v>4</x:v>
      </x:c>
      <x:c r="D4" s="73" t="n">
        <x:v>4</x:v>
      </x:c>
      <x:c r="E4" s="74" t="str">
        <x:v>No</x:v>
      </x:c>
      <x:c r="F4" s="72" t="n">
        <x:f>B4*C4</x:f>
        <x:v>0.6</x:v>
      </x:c>
      <x:c r="G4" s="73" t="n">
        <x:f>B4*D4</x:f>
        <x:v>0.6</x:v>
      </x:c>
      <x:c r="H4" s="73" t="str">
        <x:f>IF(AND(E4="Yes",C4&lt;3),"FAIL","")</x:f>
      </x:c>
      <x:c r="I4" s="74" t="str">
        <x:f>IF(AND(E4="Yes",D4&lt;3),"FAIL","")</x:f>
      </x:c>
      <x:c r="K4" s="72" t="str">
        <x:v>Vendor A score</x:v>
      </x:c>
      <x:c r="L4" s="74" t="n">
        <x:f>SUM(F4:F12)</x:f>
        <x:v>2.17</x:v>
      </x:c>
    </x:row>
    <x:row r="5">
      <x:c r="A5" s="75" t="str">
        <x:v>External and local evidence</x:v>
      </x:c>
      <x:c r="B5" s="40" t="n">
        <x:v>0.15</x:v>
      </x:c>
      <x:c r="C5" s="40" t="n">
        <x:v>3</x:v>
      </x:c>
      <x:c r="D5" s="40" t="n">
        <x:v>4</x:v>
      </x:c>
      <x:c r="E5" s="76" t="str">
        <x:v>No</x:v>
      </x:c>
      <x:c r="F5" s="75" t="n">
        <x:f>B5*C5</x:f>
        <x:v>0.44999999999999996</x:v>
      </x:c>
      <x:c r="G5" s="40" t="n">
        <x:f>B5*D5</x:f>
        <x:v>0.6</x:v>
      </x:c>
      <x:c r="H5" s="40" t="str">
        <x:f>IF(AND(E5="Yes",C5&lt;3),"FAIL","")</x:f>
      </x:c>
      <x:c r="I5" s="76" t="str">
        <x:f>IF(AND(E5="Yes",D5&lt;3),"FAIL","")</x:f>
      </x:c>
      <x:c r="K5" s="75" t="str">
        <x:v>Vendor B score</x:v>
      </x:c>
      <x:c r="L5" s="76" t="n">
        <x:f>SUM(G4:G12)</x:f>
        <x:v>3.92</x:v>
      </x:c>
    </x:row>
    <x:row r="6">
      <x:c r="A6" s="75" t="str">
        <x:v>Interoperability and portability</x:v>
      </x:c>
      <x:c r="B6" s="40" t="n">
        <x:v>0.12</x:v>
      </x:c>
      <x:c r="C6" s="40" t="n">
        <x:v>2</x:v>
      </x:c>
      <x:c r="D6" s="40" t="n">
        <x:v>4</x:v>
      </x:c>
      <x:c r="E6" s="76" t="str">
        <x:v>Yes</x:v>
      </x:c>
      <x:c r="F6" s="75" t="n">
        <x:f>B6*C6</x:f>
        <x:v>0.24</x:v>
      </x:c>
      <x:c r="G6" s="40" t="n">
        <x:f>B6*D6</x:f>
        <x:v>0.48</x:v>
      </x:c>
      <x:c r="H6" s="40" t="str">
        <x:f>IF(AND(E6="Yes",C6&lt;3),"FAIL","")</x:f>
        <x:v>FAIL</x:v>
      </x:c>
      <x:c r="I6" s="76" t="str">
        <x:f>IF(AND(E6="Yes",D6&lt;3),"FAIL","")</x:f>
      </x:c>
      <x:c r="K6" s="75" t="str">
        <x:v>Vendor A failures</x:v>
      </x:c>
      <x:c r="L6" s="76" t="n">
        <x:f>COUNTIF(H4:H12,"FAIL")</x:f>
        <x:v>5</x:v>
      </x:c>
    </x:row>
    <x:row r="7">
      <x:c r="A7" s="75" t="str">
        <x:v>Privacy and cybersecurity</x:v>
      </x:c>
      <x:c r="B7" s="40" t="n">
        <x:v>0.15</x:v>
      </x:c>
      <x:c r="C7" s="40" t="n">
        <x:v>1</x:v>
      </x:c>
      <x:c r="D7" s="40" t="n">
        <x:v>4</x:v>
      </x:c>
      <x:c r="E7" s="76" t="str">
        <x:v>Yes</x:v>
      </x:c>
      <x:c r="F7" s="75" t="n">
        <x:f>B7*C7</x:f>
        <x:v>0.15</x:v>
      </x:c>
      <x:c r="G7" s="40" t="n">
        <x:f>B7*D7</x:f>
        <x:v>0.6</x:v>
      </x:c>
      <x:c r="H7" s="40" t="str">
        <x:f>IF(AND(E7="Yes",C7&lt;3),"FAIL","")</x:f>
        <x:v>FAIL</x:v>
      </x:c>
      <x:c r="I7" s="76" t="str">
        <x:f>IF(AND(E7="Yes",D7&lt;3),"FAIL","")</x:f>
      </x:c>
      <x:c r="K7" s="77" t="str">
        <x:v>Vendor B failures</x:v>
      </x:c>
      <x:c r="L7" s="79" t="n">
        <x:f>COUNTIF(I4:I12,"FAIL")</x:f>
        <x:v>0</x:v>
      </x:c>
    </x:row>
    <x:row r="8">
      <x:c r="A8" s="75" t="str">
        <x:v>Monitoring and auditability</x:v>
      </x:c>
      <x:c r="B8" s="40" t="n">
        <x:v>0.13</x:v>
      </x:c>
      <x:c r="C8" s="40" t="n">
        <x:v>1</x:v>
      </x:c>
      <x:c r="D8" s="40" t="n">
        <x:v>4</x:v>
      </x:c>
      <x:c r="E8" s="76" t="str">
        <x:v>Yes</x:v>
      </x:c>
      <x:c r="F8" s="75" t="n">
        <x:f>B8*C8</x:f>
        <x:v>0.13</x:v>
      </x:c>
      <x:c r="G8" s="40" t="n">
        <x:f>B8*D8</x:f>
        <x:v>0.52</x:v>
      </x:c>
      <x:c r="H8" s="40" t="str">
        <x:f>IF(AND(E8="Yes",C8&lt;3),"FAIL","")</x:f>
        <x:v>FAIL</x:v>
      </x:c>
      <x:c r="I8" s="76" t="str">
        <x:f>IF(AND(E8="Yes",D8&lt;3),"FAIL","")</x:f>
      </x:c>
    </x:row>
    <x:row r="9">
      <x:c r="A9" s="75" t="str">
        <x:v>Update and rollback controls</x:v>
      </x:c>
      <x:c r="B9" s="40" t="n">
        <x:v>0.1</x:v>
      </x:c>
      <x:c r="C9" s="40" t="n">
        <x:v>1</x:v>
      </x:c>
      <x:c r="D9" s="40" t="n">
        <x:v>4</x:v>
      </x:c>
      <x:c r="E9" s="76" t="str">
        <x:v>Yes</x:v>
      </x:c>
      <x:c r="F9" s="75" t="n">
        <x:f>B9*C9</x:f>
        <x:v>0.1</x:v>
      </x:c>
      <x:c r="G9" s="40" t="n">
        <x:f>B9*D9</x:f>
        <x:v>0.4</x:v>
      </x:c>
      <x:c r="H9" s="40" t="str">
        <x:f>IF(AND(E9="Yes",C9&lt;3),"FAIL","")</x:f>
        <x:v>FAIL</x:v>
      </x:c>
      <x:c r="I9" s="76" t="str">
        <x:f>IF(AND(E9="Yes",D9&lt;3),"FAIL","")</x:f>
      </x:c>
    </x:row>
    <x:row r="10">
      <x:c r="A10" s="75" t="str">
        <x:v>Pricing transparency</x:v>
      </x:c>
      <x:c r="B10" s="40" t="n">
        <x:v>0.08</x:v>
      </x:c>
      <x:c r="C10" s="40" t="n">
        <x:v>4</x:v>
      </x:c>
      <x:c r="D10" s="40" t="n">
        <x:v>3</x:v>
      </x:c>
      <x:c r="E10" s="76" t="str">
        <x:v>No</x:v>
      </x:c>
      <x:c r="F10" s="75" t="n">
        <x:f>B10*C10</x:f>
        <x:v>0.32</x:v>
      </x:c>
      <x:c r="G10" s="40" t="n">
        <x:f>B10*D10</x:f>
        <x:v>0.24</x:v>
      </x:c>
      <x:c r="H10" s="40" t="str">
        <x:f>IF(AND(E10="Yes",C10&lt;3),"FAIL","")</x:f>
      </x:c>
      <x:c r="I10" s="76" t="str">
        <x:f>IF(AND(E10="Yes",D10&lt;3),"FAIL","")</x:f>
      </x:c>
    </x:row>
    <x:row r="11">
      <x:c r="A11" s="75" t="str">
        <x:v>Training and implementation support</x:v>
      </x:c>
      <x:c r="B11" s="40" t="n">
        <x:v>0.06</x:v>
      </x:c>
      <x:c r="C11" s="40" t="n">
        <x:v>2</x:v>
      </x:c>
      <x:c r="D11" s="40" t="n">
        <x:v>4</x:v>
      </x:c>
      <x:c r="E11" s="76" t="str">
        <x:v>No</x:v>
      </x:c>
      <x:c r="F11" s="75" t="n">
        <x:f>B11*C11</x:f>
        <x:v>0.12</x:v>
      </x:c>
      <x:c r="G11" s="40" t="n">
        <x:f>B11*D11</x:f>
        <x:v>0.24</x:v>
      </x:c>
      <x:c r="H11" s="40" t="str">
        <x:f>IF(AND(E11="Yes",C11&lt;3),"FAIL","")</x:f>
      </x:c>
      <x:c r="I11" s="76" t="str">
        <x:f>IF(AND(E11="Yes",D11&lt;3),"FAIL","")</x:f>
      </x:c>
    </x:row>
    <x:row r="12">
      <x:c r="A12" s="77" t="str">
        <x:v>Exit and decommissioning</x:v>
      </x:c>
      <x:c r="B12" s="78" t="n">
        <x:v>0.06</x:v>
      </x:c>
      <x:c r="C12" s="78" t="n">
        <x:v>1</x:v>
      </x:c>
      <x:c r="D12" s="78" t="n">
        <x:v>4</x:v>
      </x:c>
      <x:c r="E12" s="79" t="str">
        <x:v>Yes</x:v>
      </x:c>
      <x:c r="F12" s="77" t="n">
        <x:f>B12*C12</x:f>
        <x:v>0.06</x:v>
      </x:c>
      <x:c r="G12" s="78" t="n">
        <x:f>B12*D12</x:f>
        <x:v>0.24</x:v>
      </x:c>
      <x:c r="H12" s="78" t="str">
        <x:f>IF(AND(E12="Yes",C12&lt;3),"FAIL","")</x:f>
        <x:v>FAIL</x:v>
      </x:c>
      <x:c r="I12" s="79" t="str">
        <x:f>IF(AND(E12="Yes",D12&lt;3),"FAIL","")</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Criterion</x:v>
      </x:c>
      <x:c r="B3" s="58" t="str">
        <x:v>Weight</x:v>
      </x:c>
      <x:c r="C3" s="58" t="str">
        <x:v>Vendor A score</x:v>
      </x:c>
      <x:c r="D3" s="58" t="str">
        <x:v>Vendor B score</x:v>
      </x:c>
      <x:c r="E3" s="59" t="str">
        <x:v>Mandatory</x:v>
      </x:c>
    </x:row>
    <x:row r="4">
      <x:c r="A4" s="72" t="str">
        <x:v>Problem and workflow fit</x:v>
      </x:c>
      <x:c r="B4" s="73" t="str"/>
      <x:c r="C4" s="73" t="str"/>
      <x:c r="D4" s="73" t="str"/>
      <x:c r="E4" s="74" t="str">
        <x:v>No</x:v>
      </x:c>
    </x:row>
    <x:row r="5">
      <x:c r="A5" s="75" t="str">
        <x:v>External and local evidence</x:v>
      </x:c>
      <x:c r="B5" s="40" t="str"/>
      <x:c r="C5" s="40" t="str"/>
      <x:c r="D5" s="40" t="str"/>
      <x:c r="E5" s="76" t="str">
        <x:v>No</x:v>
      </x:c>
    </x:row>
    <x:row r="6">
      <x:c r="A6" s="75" t="str">
        <x:v>Interoperability and portability</x:v>
      </x:c>
      <x:c r="B6" s="40" t="str"/>
      <x:c r="C6" s="40" t="str"/>
      <x:c r="D6" s="40" t="str"/>
      <x:c r="E6" s="76" t="str">
        <x:v>Yes</x:v>
      </x:c>
    </x:row>
    <x:row r="7">
      <x:c r="A7" s="75" t="str">
        <x:v>Privacy and cybersecurity</x:v>
      </x:c>
      <x:c r="B7" s="40" t="str"/>
      <x:c r="C7" s="40" t="str"/>
      <x:c r="D7" s="40" t="str"/>
      <x:c r="E7" s="76" t="str">
        <x:v>Yes</x:v>
      </x:c>
    </x:row>
    <x:row r="8">
      <x:c r="A8" s="75" t="str">
        <x:v>Monitoring and auditability</x:v>
      </x:c>
      <x:c r="B8" s="40" t="str"/>
      <x:c r="C8" s="40" t="str"/>
      <x:c r="D8" s="40" t="str"/>
      <x:c r="E8" s="76" t="str">
        <x:v>Yes</x:v>
      </x:c>
    </x:row>
    <x:row r="9">
      <x:c r="A9" s="75" t="str">
        <x:v>Update and rollback controls</x:v>
      </x:c>
      <x:c r="B9" s="40" t="str"/>
      <x:c r="C9" s="40" t="str"/>
      <x:c r="D9" s="40" t="str"/>
      <x:c r="E9" s="76" t="str">
        <x:v>Yes</x:v>
      </x:c>
    </x:row>
    <x:row r="10">
      <x:c r="A10" s="75" t="str">
        <x:v>Pricing transparency</x:v>
      </x:c>
      <x:c r="B10" s="40" t="str"/>
      <x:c r="C10" s="40" t="str"/>
      <x:c r="D10" s="40" t="str"/>
      <x:c r="E10" s="76" t="str">
        <x:v>No</x:v>
      </x:c>
    </x:row>
    <x:row r="11">
      <x:c r="A11" s="75" t="str">
        <x:v>Training and implementation support</x:v>
      </x:c>
      <x:c r="B11" s="40" t="str"/>
      <x:c r="C11" s="40" t="str"/>
      <x:c r="D11" s="40" t="str"/>
      <x:c r="E11" s="76" t="str">
        <x:v>No</x:v>
      </x:c>
    </x:row>
    <x:row r="12">
      <x:c r="A12" s="77" t="str">
        <x:v>Exit and decommissioning</x:v>
      </x:c>
      <x:c r="B12" s="78" t="str"/>
      <x:c r="C12" s="78" t="str"/>
      <x:c r="D12" s="78" t="str"/>
      <x:c r="E12"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 Vendor Procurement and Contract Negotiation</x:v>
      </x:c>
      <x:c r="B1" s="5"/>
      <x:c r="C1" s="5"/>
      <x:c r="D1" s="5"/>
      <x:c r="E1" s="5"/>
      <x:c r="F1" s="5"/>
    </x:row>
    <x:row r="2">
      <x:c r="A2" s="5"/>
      <x:c r="B2" s="5"/>
      <x:c r="C2" s="5"/>
      <x:c r="D2" s="5"/>
      <x:c r="E2" s="5"/>
      <x:c r="F2" s="5"/>
    </x:row>
    <x:row r="4">
      <x:c r="A4" s="57" t="str">
        <x:v>Reference metric</x:v>
      </x:c>
      <x:c r="B4" s="59" t="str">
        <x:v>Synthetic result</x:v>
      </x:c>
    </x:row>
    <x:row r="5">
      <x:c r="A5" s="72" t="str">
        <x:v>Eligible vendor</x:v>
      </x:c>
      <x:c r="B5" s="74" t="str">
        <x:v>Vendor B only under current safeguards</x:v>
      </x:c>
    </x:row>
    <x:row r="6">
      <x:c r="A6" s="77" t="str">
        <x:v>Decision</x:v>
      </x:c>
      <x:c r="B6" s="79" t="str">
        <x:v>Proceed to controlled pilot and contract negotiation</x:v>
      </x:c>
    </x:row>
    <x:row r="8">
      <x:c r="A8" s="89" t="str">
        <x:v>Worked interpretation</x:v>
      </x:c>
      <x:c r="B8" s="89"/>
      <x:c r="C8" s="89"/>
      <x:c r="D8" s="89"/>
      <x:c r="E8" s="89"/>
      <x:c r="F8" s="89"/>
    </x:row>
    <x:row r="9">
      <x:c r="A9" s="94" t="str">
        <x:v>Vendor A fails several mandatory safeguards, so its weighted average cannot justify selection. Vendor B may proceed to a controlled pilot after local evidence is verified, variable costs are capped, and monitoring and support are translated into enforceable service levels. Procurement value is the expected future value of the complete contract, not the lowest purchase price.</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