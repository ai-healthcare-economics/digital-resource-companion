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5c5fd89d5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a1d54d31b944ccf"/>
    <x:sheet xmlns:r="http://schemas.openxmlformats.org/officeDocument/2006/relationships" name="Worked Inputs" sheetId="2" r:id="Rd9789b9fadd14bad"/>
    <x:sheet xmlns:r="http://schemas.openxmlformats.org/officeDocument/2006/relationships" name="Blank Template" sheetId="3" r:id="Rb8001445650f4cfd"/>
    <x:sheet xmlns:r="http://schemas.openxmlformats.org/officeDocument/2006/relationships" name="Decision Summary" sheetId="4" r:id="R70cd4ad02d08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9f6e331074cb4" /><Relationship Type="http://schemas.openxmlformats.org/officeDocument/2006/relationships/theme" Target="/xl/theme/theme1.xml" Id="R265ab9359d344444" /><Relationship Type="http://schemas.openxmlformats.org/officeDocument/2006/relationships/sharedStrings" Target="/xl/sharedStrings.xml" Id="R9d8fdd97a239412e" /><Relationship Type="http://schemas.openxmlformats.org/officeDocument/2006/relationships/worksheet" Target="/xl/worksheets/sheet1.xml" Id="R6a1d54d31b944ccf" /><Relationship Type="http://schemas.openxmlformats.org/officeDocument/2006/relationships/worksheet" Target="/xl/worksheets/sheet2.xml" Id="Rd9789b9fadd14bad" /><Relationship Type="http://schemas.openxmlformats.org/officeDocument/2006/relationships/worksheet" Target="/xl/worksheets/sheet3.xml" Id="Rb8001445650f4cfd" /><Relationship Type="http://schemas.openxmlformats.org/officeDocument/2006/relationships/worksheet" Target="/xl/worksheets/sheet4.xml" Id="R70cd4ad02d084e4e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Remote Monitoring: Cost-Effectiveness, Budget Impact, and HTA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AIHE-CASE07</x:v>
      </x:c>
    </x:row>
    <x:row r="5">
      <x:c r="A5" s="22" t="str">
        <x:v>Chapter</x:v>
      </x:c>
      <x:c r="B5" s="43" t="str">
        <x:v>7: Economic Evaluation, Affordability, and HTA</x:v>
      </x:c>
    </x:row>
    <x:row r="6">
      <x:c r="A6" s="22" t="str">
        <x:v>Decision question</x:v>
      </x:c>
      <x:c r="B6" s="43" t="str">
        <x:v>Can an intervention be cost-effective yet remain unaffordable or unsuitable for local adoption?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AIHE-B04, AIHE-AA, AIHE-EX18, AIHE-EX04, AIHE-AC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34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Usual-care cost per patient</x:v>
      </x:c>
      <x:c r="B4" s="73" t="n">
        <x:v>1200</x:v>
      </x:c>
      <x:c r="C4" s="74" t="str">
        <x:v>currency</x:v>
      </x:c>
      <x:c r="E4" s="72" t="str">
        <x:v>Incremental cost</x:v>
      </x:c>
      <x:c r="F4" s="74" t="n">
        <x:f>B5-B4</x:f>
        <x:v>250</x:v>
      </x:c>
    </x:row>
    <x:row r="5">
      <x:c r="A5" s="75" t="str">
        <x:v>AI-pathway cost per patient</x:v>
      </x:c>
      <x:c r="B5" s="40" t="n">
        <x:v>1450</x:v>
      </x:c>
      <x:c r="C5" s="76" t="str">
        <x:v>currency</x:v>
      </x:c>
      <x:c r="E5" s="75" t="str">
        <x:v>Incremental QALYs</x:v>
      </x:c>
      <x:c r="F5" s="76" t="n">
        <x:f>B7-B6</x:f>
        <x:v>0.030000000000000027</x:v>
      </x:c>
    </x:row>
    <x:row r="6">
      <x:c r="A6" s="75" t="str">
        <x:v>Usual-care QALYs</x:v>
      </x:c>
      <x:c r="B6" s="40" t="n">
        <x:v>0.74</x:v>
      </x:c>
      <x:c r="C6" s="76" t="str">
        <x:v>QALY</x:v>
      </x:c>
      <x:c r="E6" s="75" t="str">
        <x:v>ICER</x:v>
      </x:c>
      <x:c r="F6" s="76" t="n">
        <x:f>F4/F5</x:f>
        <x:v>8333.333333333327</x:v>
      </x:c>
    </x:row>
    <x:row r="7">
      <x:c r="A7" s="75" t="str">
        <x:v>AI-pathway QALYs</x:v>
      </x:c>
      <x:c r="B7" s="40" t="n">
        <x:v>0.77</x:v>
      </x:c>
      <x:c r="C7" s="76" t="str">
        <x:v>QALY</x:v>
      </x:c>
      <x:c r="E7" s="75" t="str">
        <x:v>Net monetary benefit</x:v>
      </x:c>
      <x:c r="F7" s="76" t="n">
        <x:f>B8*F5-F4</x:f>
        <x:v>1250.0000000000014</x:v>
      </x:c>
    </x:row>
    <x:row r="8">
      <x:c r="A8" s="75" t="str">
        <x:v>Willingness-to-pay threshold</x:v>
      </x:c>
      <x:c r="B8" s="40" t="n">
        <x:v>50000</x:v>
      </x:c>
      <x:c r="C8" s="76" t="str">
        <x:v>currency/QALY</x:v>
      </x:c>
      <x:c r="E8" s="75" t="str">
        <x:v>Year-1 budget impact</x:v>
      </x:c>
      <x:c r="F8" s="76" t="n">
        <x:f>B13+B14+B9*B10*B15-B9*B10*B16*B17</x:f>
        <x:v>400000</x:v>
      </x:c>
    </x:row>
    <x:row r="9">
      <x:c r="A9" s="75" t="str">
        <x:v>Eligible population</x:v>
      </x:c>
      <x:c r="B9" s="40" t="n">
        <x:v>3000</x:v>
      </x:c>
      <x:c r="C9" s="76" t="str">
        <x:v>patients</x:v>
      </x:c>
      <x:c r="E9" s="75" t="str">
        <x:v>Year-2 budget impact</x:v>
      </x:c>
      <x:c r="F9" s="76" t="n">
        <x:f>B14+B9*B11*B15-B9*B11*B16*B17</x:f>
        <x:v>100000</x:v>
      </x:c>
    </x:row>
    <x:row r="10">
      <x:c r="A10" s="75" t="str">
        <x:v>Year-1 uptake</x:v>
      </x:c>
      <x:c r="B10" s="40" t="n">
        <x:v>0.3</x:v>
      </x:c>
      <x:c r="C10" s="76" t="str">
        <x:v>proportion</x:v>
      </x:c>
      <x:c r="E10" s="77" t="str">
        <x:v>Year-3 budget impact</x:v>
      </x:c>
      <x:c r="F10" s="79" t="n">
        <x:f>B14+B9*B12*B15-B9*B12*B16*B17</x:f>
        <x:v>100000</x:v>
      </x:c>
    </x:row>
    <x:row r="11">
      <x:c r="A11" s="75" t="str">
        <x:v>Year-2 uptake</x:v>
      </x:c>
      <x:c r="B11" s="40" t="n">
        <x:v>0.6</x:v>
      </x:c>
      <x:c r="C11" s="76" t="str">
        <x:v>proportion</x:v>
      </x:c>
    </x:row>
    <x:row r="12">
      <x:c r="A12" s="75" t="str">
        <x:v>Year-3 uptake</x:v>
      </x:c>
      <x:c r="B12" s="40" t="n">
        <x:v>0.8</x:v>
      </x:c>
      <x:c r="C12" s="76" t="str">
        <x:v>proportion</x:v>
      </x:c>
    </x:row>
    <x:row r="13">
      <x:c r="A13" s="75" t="str">
        <x:v>Implementation cost</x:v>
      </x:c>
      <x:c r="B13" s="40" t="n">
        <x:v>300000</x:v>
      </x:c>
      <x:c r="C13" s="76" t="str">
        <x:v>currency</x:v>
      </x:c>
    </x:row>
    <x:row r="14">
      <x:c r="A14" s="75" t="str">
        <x:v>Annual fixed programme cost</x:v>
      </x:c>
      <x:c r="B14" s="40" t="n">
        <x:v>100000</x:v>
      </x:c>
      <x:c r="C14" s="76" t="str">
        <x:v>currency</x:v>
      </x:c>
    </x:row>
    <x:row r="15">
      <x:c r="A15" s="75" t="str">
        <x:v>Variable monitoring cost</x:v>
      </x:c>
      <x:c r="B15" s="40" t="n">
        <x:v>250</x:v>
      </x:c>
      <x:c r="C15" s="76" t="str">
        <x:v>currency/patient</x:v>
      </x:c>
    </x:row>
    <x:row r="16">
      <x:c r="A16" s="75" t="str">
        <x:v>Avoided admission rate</x:v>
      </x:c>
      <x:c r="B16" s="40" t="n">
        <x:v>0.05</x:v>
      </x:c>
      <x:c r="C16" s="76" t="str">
        <x:v>admissions/patient</x:v>
      </x:c>
    </x:row>
    <x:row r="17">
      <x:c r="A17" s="77" t="str">
        <x:v>Cost per admission</x:v>
      </x:c>
      <x:c r="B17" s="78" t="n">
        <x:v>5000</x:v>
      </x:c>
      <x:c r="C17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Usual-care cost per patient</x:v>
      </x:c>
      <x:c r="B4" s="73" t="str"/>
      <x:c r="C4" s="74" t="str">
        <x:v>currency</x:v>
      </x:c>
    </x:row>
    <x:row r="5">
      <x:c r="A5" s="75" t="str">
        <x:v>AI-pathway cost per patient</x:v>
      </x:c>
      <x:c r="B5" s="40" t="str"/>
      <x:c r="C5" s="76" t="str">
        <x:v>currency</x:v>
      </x:c>
    </x:row>
    <x:row r="6">
      <x:c r="A6" s="75" t="str">
        <x:v>Usual-care QALYs</x:v>
      </x:c>
      <x:c r="B6" s="40" t="str"/>
      <x:c r="C6" s="76" t="str">
        <x:v>QALY</x:v>
      </x:c>
    </x:row>
    <x:row r="7">
      <x:c r="A7" s="75" t="str">
        <x:v>AI-pathway QALYs</x:v>
      </x:c>
      <x:c r="B7" s="40" t="str"/>
      <x:c r="C7" s="76" t="str">
        <x:v>QALY</x:v>
      </x:c>
    </x:row>
    <x:row r="8">
      <x:c r="A8" s="75" t="str">
        <x:v>Willingness-to-pay threshold</x:v>
      </x:c>
      <x:c r="B8" s="40" t="str"/>
      <x:c r="C8" s="76" t="str">
        <x:v>currency/QALY</x:v>
      </x:c>
    </x:row>
    <x:row r="9">
      <x:c r="A9" s="75" t="str">
        <x:v>Eligible population</x:v>
      </x:c>
      <x:c r="B9" s="40" t="str"/>
      <x:c r="C9" s="76" t="str">
        <x:v>patients</x:v>
      </x:c>
    </x:row>
    <x:row r="10">
      <x:c r="A10" s="75" t="str">
        <x:v>Year-1 uptake</x:v>
      </x:c>
      <x:c r="B10" s="40" t="str"/>
      <x:c r="C10" s="76" t="str">
        <x:v>proportion</x:v>
      </x:c>
    </x:row>
    <x:row r="11">
      <x:c r="A11" s="75" t="str">
        <x:v>Year-2 uptake</x:v>
      </x:c>
      <x:c r="B11" s="40" t="str"/>
      <x:c r="C11" s="76" t="str">
        <x:v>proportion</x:v>
      </x:c>
    </x:row>
    <x:row r="12">
      <x:c r="A12" s="75" t="str">
        <x:v>Year-3 uptake</x:v>
      </x:c>
      <x:c r="B12" s="40" t="str"/>
      <x:c r="C12" s="76" t="str">
        <x:v>proportion</x:v>
      </x:c>
    </x:row>
    <x:row r="13">
      <x:c r="A13" s="75" t="str">
        <x:v>Implementation cost</x:v>
      </x:c>
      <x:c r="B13" s="40" t="str"/>
      <x:c r="C13" s="76" t="str">
        <x:v>currency</x:v>
      </x:c>
    </x:row>
    <x:row r="14">
      <x:c r="A14" s="75" t="str">
        <x:v>Annual fixed programme cost</x:v>
      </x:c>
      <x:c r="B14" s="40" t="str"/>
      <x:c r="C14" s="76" t="str">
        <x:v>currency</x:v>
      </x:c>
    </x:row>
    <x:row r="15">
      <x:c r="A15" s="75" t="str">
        <x:v>Variable monitoring cost</x:v>
      </x:c>
      <x:c r="B15" s="40" t="str"/>
      <x:c r="C15" s="76" t="str">
        <x:v>currency/patient</x:v>
      </x:c>
    </x:row>
    <x:row r="16">
      <x:c r="A16" s="75" t="str">
        <x:v>Avoided admission rate</x:v>
      </x:c>
      <x:c r="B16" s="40" t="str"/>
      <x:c r="C16" s="76" t="str">
        <x:v>admissions/patient</x:v>
      </x:c>
    </x:row>
    <x:row r="17">
      <x:c r="A17" s="77" t="str">
        <x:v>Cost per admission</x:v>
      </x:c>
      <x:c r="B17" s="78" t="str"/>
      <x:c r="C17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Remote Monitoring: Cost-Effectiveness, Budget Impact, and HTA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ICER</x:v>
      </x:c>
      <x:c r="B5" s="74" t="str">
        <x:v>Approximately 8,333 per QALY</x:v>
      </x:c>
    </x:row>
    <x:row r="6">
      <x:c r="A6" s="75" t="str">
        <x:v>Economic conclusion</x:v>
      </x:c>
      <x:c r="B6" s="76" t="str">
        <x:v>Cost-effective at the synthetic threshold</x:v>
      </x:c>
    </x:row>
    <x:row r="7">
      <x:c r="A7" s="77" t="str">
        <x:v>Budget conclusion</x:v>
      </x:c>
      <x:c r="B7" s="79" t="str">
        <x:v>Positive cash requirement remains</x:v>
      </x:c>
    </x:row>
    <x:row r="9">
      <x:c r="A9" s="89" t="str">
        <x:v>Worked interpretation</x:v>
      </x:c>
      <x:c r="B9" s="89"/>
      <x:c r="C9" s="89"/>
      <x:c r="D9" s="89"/>
      <x:c r="E9" s="89"/>
      <x:c r="F9" s="89"/>
    </x:row>
    <x:row r="10">
      <x:c r="A10" s="94" t="str">
        <x:v>The incremental cost is 250 per patient and the modeled gain is 0.03 QALYs, producing an ICER of about 8,333 per QALY and positive net monetary benefit at a threshold of 50,000. The budget-impact result is different: implementation and uptake create a positive cash requirement. The recommended decision is conditional adoption with staged uptake, funded response capacity, reimbursement clarification, and monitoring of digital exclusion.</x:v>
      </x:c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4">
      <x:c r="A14" s="94"/>
      <x:c r="B14" s="94"/>
      <x:c r="C14" s="94"/>
      <x:c r="D14" s="94"/>
      <x:c r="E14" s="94"/>
      <x:c r="F14" s="94"/>
    </x:row>
    <x:row r="16">
      <x:c r="A16" s="100" t="str">
        <x:v>Interpret calculations with evidence quality, uncertainty, mandatory safeguards, implementation capacity, monitoring, and exit conditions.</x:v>
      </x:c>
      <x:c r="B16" s="100"/>
      <x:c r="C16" s="100"/>
      <x:c r="D16" s="100"/>
      <x:c r="E16" s="100"/>
      <x:c r="F16" s="100"/>
    </x:row>
  </x:sheetData>
  <x:mergeCells>
    <x:mergeCell ref="A1:F2"/>
    <x:mergeCell ref="A9:F9"/>
    <x:mergeCell ref="A10:F14"/>
    <x:mergeCell ref="A16:F16"/>
  </x:mergeCells>
  <x:pageMargins left="0.7" right="0.7" top="0.75" bottom="0.75" header="0.3" footer="0.3"/>
</x:worksheet>
</file>