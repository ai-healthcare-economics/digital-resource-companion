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8f90bdfe824584" /></Relationships>
</file>

<file path=xl/workbook.xml><?xml version="1.0" encoding="utf-8"?>
<x:workbook xmlns:x="http://schemas.openxmlformats.org/spreadsheetml/2006/main">
  <x:sheets>
    <x:sheet xmlns:r="http://schemas.openxmlformats.org/officeDocument/2006/relationships" name="Guide" sheetId="1" r:id="R6e0862745d244cf5"/>
    <x:sheet xmlns:r="http://schemas.openxmlformats.org/officeDocument/2006/relationships" name="Worked Inputs" sheetId="2" r:id="R6bbf5bb7d6f54373"/>
    <x:sheet xmlns:r="http://schemas.openxmlformats.org/officeDocument/2006/relationships" name="Blank Template" sheetId="3" r:id="Ra3fdda38c87d48d7"/>
    <x:sheet xmlns:r="http://schemas.openxmlformats.org/officeDocument/2006/relationships" name="Decision Summary" sheetId="4" r:id="R3b76c5b91d484fe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re" wrapText="1"/>
    </x:xf>
    <x:xf numFmtId="0" fontId="2" fillId="3" borderId="36" xfId="0" applyNumberFormat="1" applyFont="1" applyFill="1" applyBorder="1" applyAlignment="1">
      <x:alignment horizontal="centre" vertical="centre"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re" wrapText="1"/>
    </x:xf>
    <x:xf numFmtId="0" fontId="2" fillId="3" borderId="37" xfId="0" applyNumberFormat="1" applyFont="1" applyFill="1" applyBorder="1" applyAlignment="1">
      <x:alignment horizontal="centre" vertical="centre"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e223d310444d5e" /><Relationship Type="http://schemas.openxmlformats.org/officeDocument/2006/relationships/theme" Target="/xl/theme/theme1.xml" Id="R565f8453ba574d2c" /><Relationship Type="http://schemas.openxmlformats.org/officeDocument/2006/relationships/sharedStrings" Target="/xl/sharedStrings.xml" Id="Rdff3533c6c4c4315" /><Relationship Type="http://schemas.openxmlformats.org/officeDocument/2006/relationships/worksheet" Target="/xl/worksheets/sheet1.xml" Id="R6e0862745d244cf5" /><Relationship Type="http://schemas.openxmlformats.org/officeDocument/2006/relationships/worksheet" Target="/xl/worksheets/sheet2.xml" Id="R6bbf5bb7d6f54373" /><Relationship Type="http://schemas.openxmlformats.org/officeDocument/2006/relationships/worksheet" Target="/xl/worksheets/sheet3.xml" Id="Ra3fdda38c87d48d7" /><Relationship Type="http://schemas.openxmlformats.org/officeDocument/2006/relationships/worksheet" Target="/xl/worksheets/sheet4.xml" Id="R3b76c5b91d484feb"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Readmission-Model Readiness and Data-Fitness Assessment</x:v>
      </x:c>
      <x:c r="B1" s="5"/>
      <x:c r="C1" s="5"/>
      <x:c r="D1" s="5"/>
      <x:c r="E1" s="5"/>
      <x:c r="F1" s="5"/>
    </x:row>
    <x:row r="2">
      <x:c r="A2" s="5"/>
      <x:c r="B2" s="5"/>
      <x:c r="C2" s="5"/>
      <x:c r="D2" s="5"/>
      <x:c r="E2" s="5"/>
      <x:c r="F2" s="5"/>
    </x:row>
    <x:row r="4">
      <x:c r="A4" s="21" t="str">
        <x:v>Example ID</x:v>
      </x:c>
      <x:c r="B4" s="42" t="str">
        <x:v>AIHE-CASE02</x:v>
      </x:c>
    </x:row>
    <x:row r="5">
      <x:c r="A5" s="22" t="str">
        <x:v>Chapter</x:v>
      </x:c>
      <x:c r="B5" s="43" t="str">
        <x:v>2: Institutional Readiness and Digital Foundations</x:v>
      </x:c>
    </x:row>
    <x:row r="6">
      <x:c r="A6" s="22" t="str">
        <x:v>Decision question</x:v>
      </x:c>
      <x:c r="B6" s="43" t="str">
        <x:v>Is the organization ready to validate and pilot a readmission-risk model, and which capability gaps must be remediated first?</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AIHE-A03, AIHE-A, AIHE-L, AIHE-A04, AIHE-EX03, AIHE-Y, AIHE-U</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42" hidden="0" customWidth="1"/>
    <x:col min="5" max="5" width="18" hidden="0" customWidth="1"/>
    <x:col min="7" max="7" width="24" hidden="0" customWidth="1"/>
    <x:col min="8" max="8" width="30" hidden="0" customWidth="1"/>
  </x:cols>
  <x:sheetData>
    <x:row r="1">
      <x:c r="A1" s="5" t="str">
        <x:v>Worked synthetic inputs and calculations</x:v>
      </x:c>
      <x:c r="B1" s="5"/>
      <x:c r="C1" s="5"/>
      <x:c r="D1" s="5"/>
      <x:c r="E1" s="5"/>
      <x:c r="F1" s="5"/>
      <x:c r="G1" s="5"/>
      <x:c r="H1" s="5"/>
      <x:c r="I1" s="5"/>
    </x:row>
    <x:row r="3">
      <x:c r="A3" s="57" t="str">
        <x:v>Domain</x:v>
      </x:c>
      <x:c r="B3" s="58" t="str">
        <x:v>Score (0-4)</x:v>
      </x:c>
      <x:c r="C3" s="58" t="str">
        <x:v>Critical</x:v>
      </x:c>
      <x:c r="D3" s="59" t="str">
        <x:v>Evidence</x:v>
      </x:c>
      <x:c r="E3" s="91" t="str">
        <x:v>Critical failure</x:v>
      </x:c>
      <x:c r="G3" s="57" t="str">
        <x:v>Summary</x:v>
      </x:c>
      <x:c r="H3" s="59" t="str">
        <x:v>Formula result</x:v>
      </x:c>
    </x:row>
    <x:row r="4">
      <x:c r="A4" s="72" t="str">
        <x:v>Strategic alignment</x:v>
      </x:c>
      <x:c r="B4" s="73" t="n">
        <x:v>3</x:v>
      </x:c>
      <x:c r="C4" s="73" t="str">
        <x:v>No</x:v>
      </x:c>
      <x:c r="D4" s="74" t="str">
        <x:v>Board-approved readmission objective</x:v>
      </x:c>
      <x:c r="E4" s="42" t="str">
        <x:f>IF(AND(C4="Yes",B4&lt;2),"FAIL","")</x:f>
      </x:c>
      <x:c r="G4" s="72" t="str">
        <x:v>Average readiness</x:v>
      </x:c>
      <x:c r="H4" s="74" t="n">
        <x:f>AVERAGE(B4:B14)</x:f>
        <x:v>2</x:v>
      </x:c>
    </x:row>
    <x:row r="5">
      <x:c r="A5" s="75" t="str">
        <x:v>Data fitness</x:v>
      </x:c>
      <x:c r="B5" s="40" t="n">
        <x:v>2</x:v>
      </x:c>
      <x:c r="C5" s="40" t="str">
        <x:v>Yes</x:v>
      </x:c>
      <x:c r="D5" s="76" t="str">
        <x:v>EHR complete; community-care linkage incomplete</x:v>
      </x:c>
      <x:c r="E5" s="43" t="str">
        <x:f>IF(AND(C5="Yes",B5&lt;2),"FAIL","")</x:f>
      </x:c>
      <x:c r="G5" s="75" t="str">
        <x:v>Critical failures</x:v>
      </x:c>
      <x:c r="H5" s="76" t="n">
        <x:f>COUNTIF(E4:E14,"FAIL")</x:f>
        <x:v>2</x:v>
      </x:c>
    </x:row>
    <x:row r="6">
      <x:c r="A6" s="75" t="str">
        <x:v>Interoperability</x:v>
      </x:c>
      <x:c r="B6" s="40" t="n">
        <x:v>1</x:v>
      </x:c>
      <x:c r="C6" s="40" t="str">
        <x:v>Yes</x:v>
      </x:c>
      <x:c r="D6" s="76" t="str">
        <x:v>Manual transfer and inconsistent patient identifiers</x:v>
      </x:c>
      <x:c r="E6" s="43" t="str">
        <x:f>IF(AND(C6="Yes",B6&lt;2),"FAIL","")</x:f>
        <x:v>FAIL</x:v>
      </x:c>
      <x:c r="G6" s="77" t="str">
        <x:v>Decision</x:v>
      </x:c>
      <x:c r="H6" s="79" t="str">
        <x:f>IF(H5&gt;0,"Defer live pilot","Proceed to staged validation")</x:f>
        <x:v>Defer live pilot</x:v>
      </x:c>
    </x:row>
    <x:row r="7">
      <x:c r="A7" s="75" t="str">
        <x:v>Infrastructure and resilience</x:v>
      </x:c>
      <x:c r="B7" s="40" t="n">
        <x:v>3</x:v>
      </x:c>
      <x:c r="C7" s="40" t="str">
        <x:v>Yes</x:v>
      </x:c>
      <x:c r="D7" s="76" t="str">
        <x:v>Reliable hosting and recovery testing</x:v>
      </x:c>
      <x:c r="E7" s="43" t="str">
        <x:f>IF(AND(C7="Yes",B7&lt;2),"FAIL","")</x:f>
      </x:c>
    </x:row>
    <x:row r="8">
      <x:c r="A8" s="75" t="str">
        <x:v>Workflow and response capacity</x:v>
      </x:c>
      <x:c r="B8" s="40" t="n">
        <x:v>2</x:v>
      </x:c>
      <x:c r="C8" s="40" t="str">
        <x:v>Yes</x:v>
      </x:c>
      <x:c r="D8" s="76" t="str">
        <x:v>Limited case-management capacity</x:v>
      </x:c>
      <x:c r="E8" s="43" t="str">
        <x:f>IF(AND(C8="Yes",B8&lt;2),"FAIL","")</x:f>
      </x:c>
    </x:row>
    <x:row r="9">
      <x:c r="A9" s="75" t="str">
        <x:v>Workforce capability</x:v>
      </x:c>
      <x:c r="B9" s="40" t="n">
        <x:v>2</x:v>
      </x:c>
      <x:c r="C9" s="40" t="str">
        <x:v>No</x:v>
      </x:c>
      <x:c r="D9" s="76" t="str">
        <x:v>Clinical informatics support available</x:v>
      </x:c>
      <x:c r="E9" s="43" t="str">
        <x:f>IF(AND(C9="Yes",B9&lt;2),"FAIL","")</x:f>
      </x:c>
    </x:row>
    <x:row r="10">
      <x:c r="A10" s="75" t="str">
        <x:v>Quality and accreditation</x:v>
      </x:c>
      <x:c r="B10" s="40" t="n">
        <x:v>2</x:v>
      </x:c>
      <x:c r="C10" s="40" t="str">
        <x:v>Yes</x:v>
      </x:c>
      <x:c r="D10" s="76" t="str">
        <x:v>Monitoring process drafted but not tested</x:v>
      </x:c>
      <x:c r="E10" s="43" t="str">
        <x:f>IF(AND(C10="Yes",B10&lt;2),"FAIL","")</x:f>
      </x:c>
    </x:row>
    <x:row r="11">
      <x:c r="A11" s="75" t="str">
        <x:v>Economics and affordability</x:v>
      </x:c>
      <x:c r="B11" s="40" t="n">
        <x:v>3</x:v>
      </x:c>
      <x:c r="C11" s="40" t="str">
        <x:v>No</x:v>
      </x:c>
      <x:c r="D11" s="76" t="str">
        <x:v>Pilot funding identified</x:v>
      </x:c>
      <x:c r="E11" s="43" t="str">
        <x:f>IF(AND(C11="Yes",B11&lt;2),"FAIL","")</x:f>
      </x:c>
    </x:row>
    <x:row r="12">
      <x:c r="A12" s="75" t="str">
        <x:v>Governance and assurance</x:v>
      </x:c>
      <x:c r="B12" s="40" t="n">
        <x:v>2</x:v>
      </x:c>
      <x:c r="C12" s="40" t="str">
        <x:v>Yes</x:v>
      </x:c>
      <x:c r="D12" s="76" t="str">
        <x:v>AI committee established; escalation incomplete</x:v>
      </x:c>
      <x:c r="E12" s="43" t="str">
        <x:f>IF(AND(C12="Yes",B12&lt;2),"FAIL","")</x:f>
      </x:c>
    </x:row>
    <x:row r="13">
      <x:c r="A13" s="75" t="str">
        <x:v>Procurement and vendor readiness</x:v>
      </x:c>
      <x:c r="B13" s="40" t="n">
        <x:v>1</x:v>
      </x:c>
      <x:c r="C13" s="40" t="str">
        <x:v>Yes</x:v>
      </x:c>
      <x:c r="D13" s="76" t="str">
        <x:v>Audit and update clauses not negotiated</x:v>
      </x:c>
      <x:c r="E13" s="43" t="str">
        <x:f>IF(AND(C13="Yes",B13&lt;2),"FAIL","")</x:f>
        <x:v>FAIL</x:v>
      </x:c>
    </x:row>
    <x:row r="14">
      <x:c r="A14" s="77" t="str">
        <x:v>Circularity and sustainability</x:v>
      </x:c>
      <x:c r="B14" s="78" t="n">
        <x:v>1</x:v>
      </x:c>
      <x:c r="C14" s="78" t="str">
        <x:v>No</x:v>
      </x:c>
      <x:c r="D14" s="79" t="str">
        <x:v>No compute or asset-life baseline</x:v>
      </x:c>
      <x:c r="E14" s="44" t="str">
        <x:f>IF(AND(C14="Yes",B14&lt;2),"FAIL","")</x:f>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s>
  <x:sheetData>
    <x:row r="1">
      <x:c r="A1" s="5" t="str">
        <x:v>Blank template - replace synthetic values with governed local evidence</x:v>
      </x:c>
      <x:c r="B1" s="5"/>
      <x:c r="C1" s="5"/>
      <x:c r="D1" s="5"/>
    </x:row>
    <x:row r="3">
      <x:c r="A3" s="57" t="str">
        <x:v>Domain</x:v>
      </x:c>
      <x:c r="B3" s="58" t="str">
        <x:v>Score (0-4)</x:v>
      </x:c>
      <x:c r="C3" s="58" t="str">
        <x:v>Critical</x:v>
      </x:c>
      <x:c r="D3" s="59" t="str">
        <x:v>Evidence</x:v>
      </x:c>
    </x:row>
    <x:row r="4">
      <x:c r="A4" s="72" t="str">
        <x:v>Strategic alignment</x:v>
      </x:c>
      <x:c r="B4" s="73" t="str"/>
      <x:c r="C4" s="73" t="str">
        <x:v>No</x:v>
      </x:c>
      <x:c r="D4" s="74" t="str">
        <x:v>Board-approved readmission objective</x:v>
      </x:c>
    </x:row>
    <x:row r="5">
      <x:c r="A5" s="75" t="str">
        <x:v>Data fitness</x:v>
      </x:c>
      <x:c r="B5" s="40" t="str"/>
      <x:c r="C5" s="40" t="str">
        <x:v>Yes</x:v>
      </x:c>
      <x:c r="D5" s="76" t="str">
        <x:v>EHR complete; community-care linkage incomplete</x:v>
      </x:c>
    </x:row>
    <x:row r="6">
      <x:c r="A6" s="75" t="str">
        <x:v>Interoperability</x:v>
      </x:c>
      <x:c r="B6" s="40" t="str"/>
      <x:c r="C6" s="40" t="str">
        <x:v>Yes</x:v>
      </x:c>
      <x:c r="D6" s="76" t="str">
        <x:v>Manual transfer and inconsistent patient identifiers</x:v>
      </x:c>
    </x:row>
    <x:row r="7">
      <x:c r="A7" s="75" t="str">
        <x:v>Infrastructure and resilience</x:v>
      </x:c>
      <x:c r="B7" s="40" t="str"/>
      <x:c r="C7" s="40" t="str">
        <x:v>Yes</x:v>
      </x:c>
      <x:c r="D7" s="76" t="str">
        <x:v>Reliable hosting and recovery testing</x:v>
      </x:c>
    </x:row>
    <x:row r="8">
      <x:c r="A8" s="75" t="str">
        <x:v>Workflow and response capacity</x:v>
      </x:c>
      <x:c r="B8" s="40" t="str"/>
      <x:c r="C8" s="40" t="str">
        <x:v>Yes</x:v>
      </x:c>
      <x:c r="D8" s="76" t="str">
        <x:v>Limited case-management capacity</x:v>
      </x:c>
    </x:row>
    <x:row r="9">
      <x:c r="A9" s="75" t="str">
        <x:v>Workforce capability</x:v>
      </x:c>
      <x:c r="B9" s="40" t="str"/>
      <x:c r="C9" s="40" t="str">
        <x:v>No</x:v>
      </x:c>
      <x:c r="D9" s="76" t="str">
        <x:v>Clinical informatics support available</x:v>
      </x:c>
    </x:row>
    <x:row r="10">
      <x:c r="A10" s="75" t="str">
        <x:v>Quality and accreditation</x:v>
      </x:c>
      <x:c r="B10" s="40" t="str"/>
      <x:c r="C10" s="40" t="str">
        <x:v>Yes</x:v>
      </x:c>
      <x:c r="D10" s="76" t="str">
        <x:v>Monitoring process drafted but not tested</x:v>
      </x:c>
    </x:row>
    <x:row r="11">
      <x:c r="A11" s="75" t="str">
        <x:v>Economics and affordability</x:v>
      </x:c>
      <x:c r="B11" s="40" t="str"/>
      <x:c r="C11" s="40" t="str">
        <x:v>No</x:v>
      </x:c>
      <x:c r="D11" s="76" t="str">
        <x:v>Pilot funding identified</x:v>
      </x:c>
    </x:row>
    <x:row r="12">
      <x:c r="A12" s="75" t="str">
        <x:v>Governance and assurance</x:v>
      </x:c>
      <x:c r="B12" s="40" t="str"/>
      <x:c r="C12" s="40" t="str">
        <x:v>Yes</x:v>
      </x:c>
      <x:c r="D12" s="76" t="str">
        <x:v>AI committee established; escalation incomplete</x:v>
      </x:c>
    </x:row>
    <x:row r="13">
      <x:c r="A13" s="75" t="str">
        <x:v>Procurement and vendor readiness</x:v>
      </x:c>
      <x:c r="B13" s="40" t="str"/>
      <x:c r="C13" s="40" t="str">
        <x:v>Yes</x:v>
      </x:c>
      <x:c r="D13" s="76" t="str">
        <x:v>Audit and update clauses not negotiated</x:v>
      </x:c>
    </x:row>
    <x:row r="14">
      <x:c r="A14" s="77" t="str">
        <x:v>Circularity and sustainability</x:v>
      </x:c>
      <x:c r="B14" s="78" t="str"/>
      <x:c r="C14" s="78" t="str">
        <x:v>No</x:v>
      </x:c>
      <x:c r="D14" s="79" t="str">
        <x:v>No compute or asset-life baseline</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Readmission-Model Readiness and Data-Fitness Assessment</x:v>
      </x:c>
      <x:c r="B1" s="5"/>
      <x:c r="C1" s="5"/>
      <x:c r="D1" s="5"/>
      <x:c r="E1" s="5"/>
      <x:c r="F1" s="5"/>
    </x:row>
    <x:row r="2">
      <x:c r="A2" s="5"/>
      <x:c r="B2" s="5"/>
      <x:c r="C2" s="5"/>
      <x:c r="D2" s="5"/>
      <x:c r="E2" s="5"/>
      <x:c r="F2" s="5"/>
    </x:row>
    <x:row r="4">
      <x:c r="A4" s="57" t="str">
        <x:v>Reference metric</x:v>
      </x:c>
      <x:c r="B4" s="59" t="str">
        <x:v>Synthetic result</x:v>
      </x:c>
    </x:row>
    <x:row r="5">
      <x:c r="A5" s="72" t="str">
        <x:v>Average readiness</x:v>
      </x:c>
      <x:c r="B5" s="74" t="str">
        <x:v>2.0 / 4</x:v>
      </x:c>
    </x:row>
    <x:row r="6">
      <x:c r="A6" s="75" t="str">
        <x:v>Critical failures</x:v>
      </x:c>
      <x:c r="B6" s="76" t="str">
        <x:v>Interoperability and procurement readiness</x:v>
      </x:c>
    </x:row>
    <x:row r="7">
      <x:c r="A7" s="77" t="str">
        <x:v>Decision</x:v>
      </x:c>
      <x:c r="B7" s="79" t="str">
        <x:v>Defer live pilot; continue retrospective profiling</x:v>
      </x:c>
    </x:row>
    <x:row r="9">
      <x:c r="A9" s="97" t="str">
        <x:v>Worked interpretation</x:v>
      </x:c>
      <x:c r="B9" s="97"/>
      <x:c r="C9" s="97"/>
      <x:c r="D9" s="97"/>
      <x:c r="E9" s="97"/>
      <x:c r="F9" s="97"/>
    </x:row>
    <x:row r="10">
      <x:c r="A10" s="102" t="str">
        <x:v>The average score suggests partial capability, but the average is not the decision rule. Interoperability and procurement readiness are critical and both fall below the minimum acceptable level. Live use should be deferred while common identifiers, versioned mappings, vendor audit and update clauses, and funded case-management capacity are established. Retrospective profiling may continue because it reduces uncertainty without creating clinical dependence.</x:v>
      </x:c>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4">
      <x:c r="A14" s="102"/>
      <x:c r="B14" s="102"/>
      <x:c r="C14" s="102"/>
      <x:c r="D14" s="102"/>
      <x:c r="E14" s="102"/>
      <x:c r="F14" s="102"/>
    </x:row>
    <x:row r="16">
      <x:c r="A16" s="108" t="str">
        <x:v>Interpret calculations with evidence quality, uncertainty, mandatory safeguards, implementation capacity, monitoring, and exit conditions.</x:v>
      </x:c>
      <x:c r="B16" s="108"/>
      <x:c r="C16" s="108"/>
      <x:c r="D16" s="108"/>
      <x:c r="E16" s="108"/>
      <x:c r="F16" s="108"/>
    </x:row>
  </x:sheetData>
  <x:mergeCells>
    <x:mergeCell ref="A1:F2"/>
    <x:mergeCell ref="A9:F9"/>
    <x:mergeCell ref="A10:F14"/>
    <x:mergeCell ref="A16:F16"/>
  </x:mergeCells>
  <x:pageMargins left="0.7" right="0.7" top="0.75" bottom="0.75" header="0.3" footer="0.3"/>
</x:worksheet>
</file>