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f2a5a9bf9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e074179887a41a1"/>
    <x:sheet xmlns:r="http://schemas.openxmlformats.org/officeDocument/2006/relationships" name="Worked Inputs" sheetId="2" r:id="R87a52163495d49be"/>
    <x:sheet xmlns:r="http://schemas.openxmlformats.org/officeDocument/2006/relationships" name="Blank Template" sheetId="3" r:id="Rb7f17fe98ca045be"/>
    <x:sheet xmlns:r="http://schemas.openxmlformats.org/officeDocument/2006/relationships" name="Decision Summary" sheetId="4" r:id="Ra2df9b43d65b4b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re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re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re" wrapText="1"/>
    </x:xf>
    <x:xf numFmtId="0" fontId="2" fillId="3" borderId="3" xfId="0" applyNumberFormat="1" applyFont="1" applyFill="1" applyBorder="1" applyAlignment="1">
      <x:alignment horizontal="centre" wrapText="1"/>
    </x:xf>
    <x:xf numFmtId="0" fontId="2" fillId="3" borderId="4" xfId="0" applyNumberFormat="1" applyFont="1" applyFill="1" applyBorder="1" applyAlignment="1">
      <x:alignment horizontal="centre" wrapText="1"/>
    </x:xf>
    <x:xf numFmtId="0" fontId="2" fillId="3" borderId="2" xfId="0" applyNumberFormat="1" applyFont="1" applyFill="1" applyBorder="1" applyAlignment="1">
      <x:alignment horizontal="centre" vertical="centre" wrapText="1"/>
    </x:xf>
    <x:xf numFmtId="0" fontId="2" fillId="3" borderId="3" xfId="0" applyNumberFormat="1" applyFont="1" applyFill="1" applyBorder="1" applyAlignment="1">
      <x:alignment horizontal="centre" vertical="centre" wrapText="1"/>
    </x:xf>
    <x:xf numFmtId="0" fontId="2" fillId="3" borderId="4" xfId="0" applyNumberFormat="1" applyFont="1" applyFill="1" applyBorder="1" applyAlignment="1">
      <x:alignment horizontal="centre"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re" wrapText="1"/>
    </x:xf>
    <x:xf numFmtId="0" fontId="2" fillId="3" borderId="6" xfId="0" applyNumberFormat="1" applyFont="1" applyFill="1" applyBorder="1" applyAlignment="1">
      <x:alignment horizontal="centre" wrapText="1"/>
    </x:xf>
    <x:xf numFmtId="0" fontId="2" fillId="3" borderId="7" xfId="0" applyNumberFormat="1" applyFont="1" applyFill="1" applyBorder="1" applyAlignment="1">
      <x:alignment horizontal="centre" wrapText="1"/>
    </x:xf>
    <x:xf numFmtId="0" fontId="2" fillId="3" borderId="5" xfId="0" applyNumberFormat="1" applyFont="1" applyFill="1" applyBorder="1" applyAlignment="1">
      <x:alignment horizontal="centre" vertical="centre" wrapText="1"/>
    </x:xf>
    <x:xf numFmtId="0" fontId="2" fillId="3" borderId="6" xfId="0" applyNumberFormat="1" applyFont="1" applyFill="1" applyBorder="1" applyAlignment="1">
      <x:alignment horizontal="centre" vertical="centre" wrapText="1"/>
    </x:xf>
    <x:xf numFmtId="0" fontId="2" fillId="3" borderId="7" xfId="0" applyNumberFormat="1" applyFont="1" applyFill="1" applyBorder="1" applyAlignment="1">
      <x:alignment horizontal="centre" vertical="centre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re" wrapText="1"/>
    </x:xf>
    <x:xf numFmtId="0" fontId="2" fillId="3" borderId="15" xfId="0" applyNumberFormat="1" applyFont="1" applyFill="1" applyBorder="1" applyAlignment="1">
      <x:alignment horizontal="centre" wrapText="1"/>
    </x:xf>
    <x:xf numFmtId="0" fontId="2" fillId="3" borderId="16" xfId="0" applyNumberFormat="1" applyFont="1" applyFill="1" applyBorder="1" applyAlignment="1">
      <x:alignment horizontal="centre" wrapText="1"/>
    </x:xf>
    <x:xf numFmtId="0" fontId="2" fillId="3" borderId="14" xfId="0" applyNumberFormat="1" applyFont="1" applyFill="1" applyBorder="1" applyAlignment="1">
      <x:alignment horizontal="centre" vertical="centre" wrapText="1"/>
    </x:xf>
    <x:xf numFmtId="0" fontId="2" fillId="3" borderId="15" xfId="0" applyNumberFormat="1" applyFont="1" applyFill="1" applyBorder="1" applyAlignment="1">
      <x:alignment horizontal="centre" vertical="centre" wrapText="1"/>
    </x:xf>
    <x:xf numFmtId="0" fontId="2" fillId="3" borderId="16" xfId="0" applyNumberFormat="1" applyFont="1" applyFill="1" applyBorder="1" applyAlignment="1">
      <x:alignment horizontal="centre" vertical="centre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re" wrapText="1"/>
    </x:xf>
    <x:xf numFmtId="0" fontId="2" fillId="3" borderId="18" xfId="0" applyNumberFormat="1" applyFont="1" applyFill="1" applyBorder="1" applyAlignment="1">
      <x:alignment horizontal="centre" wrapText="1"/>
    </x:xf>
    <x:xf numFmtId="0" fontId="2" fillId="3" borderId="19" xfId="0" applyNumberFormat="1" applyFont="1" applyFill="1" applyBorder="1" applyAlignment="1">
      <x:alignment horizontal="centre" wrapText="1"/>
    </x:xf>
    <x:xf numFmtId="0" fontId="2" fillId="3" borderId="17" xfId="0" applyNumberFormat="1" applyFont="1" applyFill="1" applyBorder="1" applyAlignment="1">
      <x:alignment horizontal="centre" vertical="centre" wrapText="1"/>
    </x:xf>
    <x:xf numFmtId="0" fontId="2" fillId="3" borderId="18" xfId="0" applyNumberFormat="1" applyFont="1" applyFill="1" applyBorder="1" applyAlignment="1">
      <x:alignment horizontal="centre" vertical="centre" wrapText="1"/>
    </x:xf>
    <x:xf numFmtId="0" fontId="2" fillId="3" borderId="19" xfId="0" applyNumberFormat="1" applyFont="1" applyFill="1" applyBorder="1" applyAlignment="1">
      <x:alignment horizontal="centre" vertical="centre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edda650454de9" /><Relationship Type="http://schemas.openxmlformats.org/officeDocument/2006/relationships/theme" Target="/xl/theme/theme1.xml" Id="R7f8d2e5532654b21" /><Relationship Type="http://schemas.openxmlformats.org/officeDocument/2006/relationships/sharedStrings" Target="/xl/sharedStrings.xml" Id="Re69ff647a18e4ac0" /><Relationship Type="http://schemas.openxmlformats.org/officeDocument/2006/relationships/worksheet" Target="/xl/worksheets/sheet1.xml" Id="Ree074179887a41a1" /><Relationship Type="http://schemas.openxmlformats.org/officeDocument/2006/relationships/worksheet" Target="/xl/worksheets/sheet2.xml" Id="R87a52163495d49be" /><Relationship Type="http://schemas.openxmlformats.org/officeDocument/2006/relationships/worksheet" Target="/xl/worksheets/sheet3.xml" Id="Rb7f17fe98ca045be" /><Relationship Type="http://schemas.openxmlformats.org/officeDocument/2006/relationships/worksheet" Target="/xl/worksheets/sheet4.xml" Id="Ra2df9b43d65b4b29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Ambient Documentation Assistant: Productivity and Workforce Redesign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AIHE-CASE04</x:v>
      </x:c>
    </x:row>
    <x:row r="5">
      <x:c r="A5" s="22" t="str">
        <x:v>Chapter</x:v>
      </x:c>
      <x:c r="B5" s="43" t="str">
        <x:v>4: Productivity, Workforce Redesign, and Implementation</x:v>
      </x:c>
    </x:row>
    <x:row r="6">
      <x:c r="A6" s="22" t="str">
        <x:v>Decision question</x:v>
      </x:c>
      <x:c r="B6" s="43" t="str">
        <x:v>How much of the claimed documentation time saving becomes usable capacity after review, correction, adoption, and implementation costs?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AIHE-B03, AIHE-Z, AIHE-EX07, AIHE-R, AIHE-EX10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5" max="5" width="38" hidden="0" customWidth="1"/>
    <x:col min="6" max="6" width="22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</x:row>
    <x:row r="3">
      <x:c r="A3" s="57" t="str">
        <x:v>Parameter</x:v>
      </x:c>
      <x:c r="B3" s="58" t="str">
        <x:v>Value</x:v>
      </x:c>
      <x:c r="C3" s="59" t="str">
        <x:v>Unit</x:v>
      </x:c>
      <x:c r="E3" s="57" t="str">
        <x:v>Calculation</x:v>
      </x:c>
      <x:c r="F3" s="59" t="str">
        <x:v>Formula result</x:v>
      </x:c>
    </x:row>
    <x:row r="4">
      <x:c r="A4" s="72" t="str">
        <x:v>Clinicians</x:v>
      </x:c>
      <x:c r="B4" s="73" t="n">
        <x:v>40</x:v>
      </x:c>
      <x:c r="C4" s="74" t="str">
        <x:v>people</x:v>
      </x:c>
      <x:c r="E4" s="72" t="str">
        <x:v>Annual used encounters</x:v>
      </x:c>
      <x:c r="F4" s="74" t="n">
        <x:f>B4*B5*B6*B9</x:f>
        <x:v>25760</x:v>
      </x:c>
    </x:row>
    <x:row r="5">
      <x:c r="A5" s="75" t="str">
        <x:v>Encounters per clinician per week</x:v>
      </x:c>
      <x:c r="B5" s="40" t="n">
        <x:v>20</x:v>
      </x:c>
      <x:c r="C5" s="76" t="str">
        <x:v>encounters</x:v>
      </x:c>
      <x:c r="E5" s="75" t="str">
        <x:v>Net minutes saved per used encounter</x:v>
      </x:c>
      <x:c r="F5" s="76" t="n">
        <x:f>MAX(0,B7-B8)</x:f>
        <x:v>3.5</x:v>
      </x:c>
    </x:row>
    <x:row r="6">
      <x:c r="A6" s="75" t="str">
        <x:v>Working weeks per year</x:v>
      </x:c>
      <x:c r="B6" s="40" t="n">
        <x:v>46</x:v>
      </x:c>
      <x:c r="C6" s="76" t="str">
        <x:v>weeks</x:v>
      </x:c>
      <x:c r="E6" s="75" t="str">
        <x:v>Net annual hours released</x:v>
      </x:c>
      <x:c r="F6" s="76" t="n">
        <x:f>F4*F5/60</x:f>
        <x:v>1502.6666666666667</x:v>
      </x:c>
    </x:row>
    <x:row r="7">
      <x:c r="A7" s="75" t="str">
        <x:v>Gross minutes saved per used encounter</x:v>
      </x:c>
      <x:c r="B7" s="40" t="n">
        <x:v>7</x:v>
      </x:c>
      <x:c r="C7" s="76" t="str">
        <x:v>minutes</x:v>
      </x:c>
      <x:c r="E7" s="75" t="str">
        <x:v>Redeployable hours</x:v>
      </x:c>
      <x:c r="F7" s="76" t="n">
        <x:f>F6*B10</x:f>
        <x:v>150.26666666666668</x:v>
      </x:c>
    </x:row>
    <x:row r="8">
      <x:c r="A8" s="75" t="str">
        <x:v>Review and correction minutes per used encounter</x:v>
      </x:c>
      <x:c r="B8" s="40" t="n">
        <x:v>3.5</x:v>
      </x:c>
      <x:c r="C8" s="76" t="str">
        <x:v>minutes</x:v>
      </x:c>
      <x:c r="E8" s="75" t="str">
        <x:v>Monetized realized value</x:v>
      </x:c>
      <x:c r="F8" s="76" t="n">
        <x:f>F7*B11</x:f>
        <x:v>45080.00000000001</x:v>
      </x:c>
    </x:row>
    <x:row r="9">
      <x:c r="A9" s="75" t="str">
        <x:v>Adoption rate</x:v>
      </x:c>
      <x:c r="B9" s="40" t="n">
        <x:v>0.7</x:v>
      </x:c>
      <x:c r="C9" s="76" t="str">
        <x:v>proportion</x:v>
      </x:c>
      <x:c r="E9" s="75" t="str">
        <x:v>First-year cost</x:v>
      </x:c>
      <x:c r="F9" s="76" t="n">
        <x:f>SUM(B12:B15)</x:f>
        <x:v>375000</x:v>
      </x:c>
    </x:row>
    <x:row r="10">
      <x:c r="A10" s="75" t="str">
        <x:v>Redeployable share of net hours</x:v>
      </x:c>
      <x:c r="B10" s="40" t="n">
        <x:v>0.1</x:v>
      </x:c>
      <x:c r="C10" s="76" t="str">
        <x:v>proportion</x:v>
      </x:c>
      <x:c r="E10" s="77" t="str">
        <x:v>First-year net financial result</x:v>
      </x:c>
      <x:c r="F10" s="79" t="n">
        <x:f>F8-F9</x:f>
        <x:v>-329920</x:v>
      </x:c>
    </x:row>
    <x:row r="11">
      <x:c r="A11" s="75" t="str">
        <x:v>Value per redeployed hour</x:v>
      </x:c>
      <x:c r="B11" s="40" t="n">
        <x:v>300</x:v>
      </x:c>
      <x:c r="C11" s="76" t="str">
        <x:v>currency/hour</x:v>
      </x:c>
    </x:row>
    <x:row r="12">
      <x:c r="A12" s="75" t="str">
        <x:v>Annual subscription</x:v>
      </x:c>
      <x:c r="B12" s="40" t="n">
        <x:v>180000</x:v>
      </x:c>
      <x:c r="C12" s="76" t="str">
        <x:v>currency</x:v>
      </x:c>
    </x:row>
    <x:row r="13">
      <x:c r="A13" s="75" t="str">
        <x:v>First-year integration</x:v>
      </x:c>
      <x:c r="B13" s="40" t="n">
        <x:v>120000</x:v>
      </x:c>
      <x:c r="C13" s="76" t="str">
        <x:v>currency</x:v>
      </x:c>
    </x:row>
    <x:row r="14">
      <x:c r="A14" s="75" t="str">
        <x:v>Training and workflow redesign</x:v>
      </x:c>
      <x:c r="B14" s="40" t="n">
        <x:v>35000</x:v>
      </x:c>
      <x:c r="C14" s="76" t="str">
        <x:v>currency</x:v>
      </x:c>
    </x:row>
    <x:row r="15">
      <x:c r="A15" s="77" t="str">
        <x:v>Annual monitoring and governance</x:v>
      </x:c>
      <x:c r="B15" s="78" t="n">
        <x:v>40000</x:v>
      </x:c>
      <x:c r="C15" s="79" t="str">
        <x:v>currency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</x:row>
    <x:row r="3">
      <x:c r="A3" s="57" t="str">
        <x:v>Parameter</x:v>
      </x:c>
      <x:c r="B3" s="58" t="str">
        <x:v>Value</x:v>
      </x:c>
      <x:c r="C3" s="59" t="str">
        <x:v>Unit</x:v>
      </x:c>
    </x:row>
    <x:row r="4">
      <x:c r="A4" s="72" t="str">
        <x:v>Clinicians</x:v>
      </x:c>
      <x:c r="B4" s="73" t="str"/>
      <x:c r="C4" s="74" t="str">
        <x:v>people</x:v>
      </x:c>
    </x:row>
    <x:row r="5">
      <x:c r="A5" s="75" t="str">
        <x:v>Encounters per clinician per week</x:v>
      </x:c>
      <x:c r="B5" s="40" t="str"/>
      <x:c r="C5" s="76" t="str">
        <x:v>encounters</x:v>
      </x:c>
    </x:row>
    <x:row r="6">
      <x:c r="A6" s="75" t="str">
        <x:v>Working weeks per year</x:v>
      </x:c>
      <x:c r="B6" s="40" t="str"/>
      <x:c r="C6" s="76" t="str">
        <x:v>weeks</x:v>
      </x:c>
    </x:row>
    <x:row r="7">
      <x:c r="A7" s="75" t="str">
        <x:v>Gross minutes saved per used encounter</x:v>
      </x:c>
      <x:c r="B7" s="40" t="str"/>
      <x:c r="C7" s="76" t="str">
        <x:v>minutes</x:v>
      </x:c>
    </x:row>
    <x:row r="8">
      <x:c r="A8" s="75" t="str">
        <x:v>Review and correction minutes per used encounter</x:v>
      </x:c>
      <x:c r="B8" s="40" t="str"/>
      <x:c r="C8" s="76" t="str">
        <x:v>minutes</x:v>
      </x:c>
    </x:row>
    <x:row r="9">
      <x:c r="A9" s="75" t="str">
        <x:v>Adoption rate</x:v>
      </x:c>
      <x:c r="B9" s="40" t="str"/>
      <x:c r="C9" s="76" t="str">
        <x:v>proportion</x:v>
      </x:c>
    </x:row>
    <x:row r="10">
      <x:c r="A10" s="75" t="str">
        <x:v>Redeployable share of net hours</x:v>
      </x:c>
      <x:c r="B10" s="40" t="str"/>
      <x:c r="C10" s="76" t="str">
        <x:v>proportion</x:v>
      </x:c>
    </x:row>
    <x:row r="11">
      <x:c r="A11" s="75" t="str">
        <x:v>Value per redeployed hour</x:v>
      </x:c>
      <x:c r="B11" s="40" t="str"/>
      <x:c r="C11" s="76" t="str">
        <x:v>currency/hour</x:v>
      </x:c>
    </x:row>
    <x:row r="12">
      <x:c r="A12" s="75" t="str">
        <x:v>Annual subscription</x:v>
      </x:c>
      <x:c r="B12" s="40" t="str"/>
      <x:c r="C12" s="76" t="str">
        <x:v>currency</x:v>
      </x:c>
    </x:row>
    <x:row r="13">
      <x:c r="A13" s="75" t="str">
        <x:v>First-year integration</x:v>
      </x:c>
      <x:c r="B13" s="40" t="str"/>
      <x:c r="C13" s="76" t="str">
        <x:v>currency</x:v>
      </x:c>
    </x:row>
    <x:row r="14">
      <x:c r="A14" s="75" t="str">
        <x:v>Training and workflow redesign</x:v>
      </x:c>
      <x:c r="B14" s="40" t="str"/>
      <x:c r="C14" s="76" t="str">
        <x:v>currency</x:v>
      </x:c>
    </x:row>
    <x:row r="15">
      <x:c r="A15" s="77" t="str">
        <x:v>Annual monitoring and governance</x:v>
      </x:c>
      <x:c r="B15" s="78" t="str"/>
      <x:c r="C15" s="79" t="str">
        <x:v>currency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Ambient Documentation Assistant: Productivity and Workforce Redesign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Net annual hours released</x:v>
      </x:c>
      <x:c r="B5" s="74" t="str">
        <x:v>Approximately 1,500</x:v>
      </x:c>
    </x:row>
    <x:row r="6">
      <x:c r="A6" s="75" t="str">
        <x:v>First-year financial result</x:v>
      </x:c>
      <x:c r="B6" s="76" t="str">
        <x:v>Negative</x:v>
      </x:c>
    </x:row>
    <x:row r="7">
      <x:c r="A7" s="77" t="str">
        <x:v>Decision</x:v>
      </x:c>
      <x:c r="B7" s="79" t="str">
        <x:v>Controlled pilot; no assumed headcount saving</x:v>
      </x:c>
    </x:row>
    <x:row r="9">
      <x:c r="A9" s="89" t="str">
        <x:v>Worked interpretation</x:v>
      </x:c>
      <x:c r="B9" s="89"/>
      <x:c r="C9" s="89"/>
      <x:c r="D9" s="89"/>
      <x:c r="E9" s="89"/>
      <x:c r="F9" s="89"/>
    </x:row>
    <x:row r="10">
      <x:c r="A10" s="94" t="str">
        <x:v>After correction and adoption are included, the example releases about 1,500 net hours annually, but only a small share is assumed to become additional clinical capacity. The first-year financial result remains negative after subscription, integration, training, and monitoring. The recommended decision is a six-month controlled pilot with mandatory clinician approval, stratified correction-rate monitoring, no assumed headcount saving, and separate monitoring of coding and downstream utilization.</x:v>
      </x:c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4">
      <x:c r="A14" s="94"/>
      <x:c r="B14" s="94"/>
      <x:c r="C14" s="94"/>
      <x:c r="D14" s="94"/>
      <x:c r="E14" s="94"/>
      <x:c r="F14" s="94"/>
    </x:row>
    <x:row r="16">
      <x:c r="A16" s="100" t="str">
        <x:v>Interpret calculations with evidence quality, uncertainty, mandatory safeguards, implementation capacity, monitoring, and exit conditions.</x:v>
      </x:c>
      <x:c r="B16" s="100"/>
      <x:c r="C16" s="100"/>
      <x:c r="D16" s="100"/>
      <x:c r="E16" s="100"/>
      <x:c r="F16" s="100"/>
    </x:row>
  </x:sheetData>
  <x:mergeCells>
    <x:mergeCell ref="A1:F2"/>
    <x:mergeCell ref="A9:F9"/>
    <x:mergeCell ref="A10:F14"/>
    <x:mergeCell ref="A16:F16"/>
  </x:mergeCells>
  <x:pageMargins left="0.7" right="0.7" top="0.75" bottom="0.75" header="0.3" footer="0.3"/>
</x:worksheet>
</file>