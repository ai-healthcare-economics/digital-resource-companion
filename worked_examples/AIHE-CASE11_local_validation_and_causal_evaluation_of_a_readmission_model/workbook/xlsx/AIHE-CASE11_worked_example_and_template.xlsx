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a884a4c3e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8f1d1d5b3d14d72"/>
    <x:sheet xmlns:r="http://schemas.openxmlformats.org/officeDocument/2006/relationships" name="Worked Inputs" sheetId="2" r:id="Rc19c6de463244fb5"/>
    <x:sheet xmlns:r="http://schemas.openxmlformats.org/officeDocument/2006/relationships" name="Blank Template" sheetId="3" r:id="R0a50f4f34d724a41"/>
    <x:sheet xmlns:r="http://schemas.openxmlformats.org/officeDocument/2006/relationships" name="Decision Summary" sheetId="4" r:id="R38c2a882b87d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991ea16e544da" /><Relationship Type="http://schemas.openxmlformats.org/officeDocument/2006/relationships/theme" Target="/xl/theme/theme1.xml" Id="R9d353c8352004ca5" /><Relationship Type="http://schemas.openxmlformats.org/officeDocument/2006/relationships/sharedStrings" Target="/xl/sharedStrings.xml" Id="Rd4ea210cf37441a3" /><Relationship Type="http://schemas.openxmlformats.org/officeDocument/2006/relationships/worksheet" Target="/xl/worksheets/sheet1.xml" Id="R58f1d1d5b3d14d72" /><Relationship Type="http://schemas.openxmlformats.org/officeDocument/2006/relationships/worksheet" Target="/xl/worksheets/sheet2.xml" Id="Rc19c6de463244fb5" /><Relationship Type="http://schemas.openxmlformats.org/officeDocument/2006/relationships/worksheet" Target="/xl/worksheets/sheet3.xml" Id="R0a50f4f34d724a41" /><Relationship Type="http://schemas.openxmlformats.org/officeDocument/2006/relationships/worksheet" Target="/xl/worksheets/sheet4.xml" Id="R38c2a882b87d4e3c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Local Validation and Causal Evaluation of a Readmission Model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AIHE-CASE11</x:v>
      </x:c>
    </x:row>
    <x:row r="5">
      <x:c r="A5" s="22" t="str">
        <x:v>Chapter</x:v>
      </x:c>
      <x:c r="B5" s="43" t="str">
        <x:v>11: Evidence, Validation, and Real-World Evaluation</x:v>
      </x:c>
    </x:row>
    <x:row r="6">
      <x:c r="A6" s="22" t="str">
        <x:v>Decision question</x:v>
      </x:c>
      <x:c r="B6" s="43" t="str">
        <x:v>Does local performance and observed service change support adoption, and what can reasonably be attributed to the AI-enabled pathway?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AIHE-B05, AIHE-EX05, AIHE-EX04, AIHE-V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2" hidden="0" customWidth="1"/>
    <x:col min="5" max="5" width="38" hidden="0" customWidth="1"/>
    <x:col min="6" max="6" width="5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Metric</x:v>
      </x:c>
      <x:c r="B3" s="58" t="str">
        <x:v>Value</x:v>
      </x:c>
      <x:c r="C3" s="59" t="str">
        <x:v>Comparator or threshold</x:v>
      </x:c>
      <x:c r="E3" s="57" t="str">
        <x:v>Calculation</x:v>
      </x:c>
      <x:c r="F3" s="59" t="str">
        <x:v>Formula result</x:v>
      </x:c>
    </x:row>
    <x:row r="4">
      <x:c r="A4" s="72" t="str">
        <x:v>Vendor AUROC</x:v>
      </x:c>
      <x:c r="B4" s="73" t="n">
        <x:v>0.87</x:v>
      </x:c>
      <x:c r="C4" s="74" t="n">
        <x:v>0.8</x:v>
      </x:c>
      <x:c r="E4" s="72" t="str">
        <x:v>Local AUROC status</x:v>
      </x:c>
      <x:c r="F4" s="74" t="str">
        <x:f>IF(B5&gt;=C5,"PASS","REVIEW")</x:f>
        <x:v>REVIEW</x:v>
      </x:c>
    </x:row>
    <x:row r="5">
      <x:c r="A5" s="75" t="str">
        <x:v>Local AUROC</x:v>
      </x:c>
      <x:c r="B5" s="40" t="n">
        <x:v>0.79</x:v>
      </x:c>
      <x:c r="C5" s="76" t="n">
        <x:v>0.8</x:v>
      </x:c>
      <x:c r="E5" s="75" t="str">
        <x:v>Calibration status</x:v>
      </x:c>
      <x:c r="F5" s="76" t="str">
        <x:f>IF(B6&gt;=C6,"PASS","REVIEW")</x:f>
        <x:v>REVIEW</x:v>
      </x:c>
    </x:row>
    <x:row r="6">
      <x:c r="A6" s="75" t="str">
        <x:v>Local calibration slope</x:v>
      </x:c>
      <x:c r="B6" s="40" t="n">
        <x:v>0.76</x:v>
      </x:c>
      <x:c r="C6" s="76" t="n">
        <x:v>0.9</x:v>
      </x:c>
      <x:c r="E6" s="75" t="str">
        <x:v>Minority-language subgroup status</x:v>
      </x:c>
      <x:c r="F6" s="76" t="str">
        <x:f>IF(B8&gt;=C8,"PASS","REVIEW")</x:f>
        <x:v>REVIEW</x:v>
      </x:c>
    </x:row>
    <x:row r="7">
      <x:c r="A7" s="75" t="str">
        <x:v>Majority-language subgroup AUROC</x:v>
      </x:c>
      <x:c r="B7" s="40" t="n">
        <x:v>0.81</x:v>
      </x:c>
      <x:c r="C7" s="76" t="n">
        <x:v>0.8</x:v>
      </x:c>
      <x:c r="E7" s="75" t="str">
        <x:v>Difference-in-differences</x:v>
      </x:c>
      <x:c r="F7" s="76" t="n">
        <x:f>(B10-B9)-(B12-B11)</x:f>
        <x:v>-0.014999999999999986</x:v>
      </x:c>
    </x:row>
    <x:row r="8">
      <x:c r="A8" s="75" t="str">
        <x:v>Minority-language subgroup AUROC</x:v>
      </x:c>
      <x:c r="B8" s="40" t="n">
        <x:v>0.68</x:v>
      </x:c>
      <x:c r="C8" s="76" t="n">
        <x:v>0.8</x:v>
      </x:c>
      <x:c r="E8" s="77" t="str">
        <x:v>Decision</x:v>
      </x:c>
      <x:c r="F8" s="79" t="str">
        <x:f>IF(COUNTIF(F4:F6,"REVIEW")&gt;0,"Recalibrate or restrict; continue prospective evaluation","Proceed to staged use")</x:f>
        <x:v>Recalibrate or restrict; continue prospective evaluation</x:v>
      </x:c>
    </x:row>
    <x:row r="9">
      <x:c r="A9" s="75" t="str">
        <x:v>Intervention site pre readmission rate</x:v>
      </x:c>
      <x:c r="B9" s="40" t="n">
        <x:v>0.152</x:v>
      </x:c>
      <x:c r="C9" s="76" t="n">
        <x:v>0</x:v>
      </x:c>
    </x:row>
    <x:row r="10">
      <x:c r="A10" s="75" t="str">
        <x:v>Intervention site post readmission rate</x:v>
      </x:c>
      <x:c r="B10" s="40" t="n">
        <x:v>0.13</x:v>
      </x:c>
      <x:c r="C10" s="76" t="n">
        <x:v>0</x:v>
      </x:c>
    </x:row>
    <x:row r="11">
      <x:c r="A11" s="75" t="str">
        <x:v>Control site pre readmission rate</x:v>
      </x:c>
      <x:c r="B11" s="40" t="n">
        <x:v>0.148</x:v>
      </x:c>
      <x:c r="C11" s="76" t="n">
        <x:v>0</x:v>
      </x:c>
    </x:row>
    <x:row r="12">
      <x:c r="A12" s="77" t="str">
        <x:v>Control site post readmission rate</x:v>
      </x:c>
      <x:c r="B12" s="78" t="n">
        <x:v>0.141</x:v>
      </x:c>
      <x:c r="C12" s="79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Metric</x:v>
      </x:c>
      <x:c r="B3" s="58" t="str">
        <x:v>Value</x:v>
      </x:c>
      <x:c r="C3" s="59" t="str">
        <x:v>Comparator or threshold</x:v>
      </x:c>
    </x:row>
    <x:row r="4">
      <x:c r="A4" s="72" t="str">
        <x:v>Vendor AUROC</x:v>
      </x:c>
      <x:c r="B4" s="73" t="str"/>
      <x:c r="C4" s="74" t="n">
        <x:v>0.8</x:v>
      </x:c>
    </x:row>
    <x:row r="5">
      <x:c r="A5" s="75" t="str">
        <x:v>Local AUROC</x:v>
      </x:c>
      <x:c r="B5" s="40" t="str"/>
      <x:c r="C5" s="76" t="n">
        <x:v>0.8</x:v>
      </x:c>
    </x:row>
    <x:row r="6">
      <x:c r="A6" s="75" t="str">
        <x:v>Local calibration slope</x:v>
      </x:c>
      <x:c r="B6" s="40" t="str"/>
      <x:c r="C6" s="76" t="n">
        <x:v>0.9</x:v>
      </x:c>
    </x:row>
    <x:row r="7">
      <x:c r="A7" s="75" t="str">
        <x:v>Majority-language subgroup AUROC</x:v>
      </x:c>
      <x:c r="B7" s="40" t="str"/>
      <x:c r="C7" s="76" t="n">
        <x:v>0.8</x:v>
      </x:c>
    </x:row>
    <x:row r="8">
      <x:c r="A8" s="75" t="str">
        <x:v>Minority-language subgroup AUROC</x:v>
      </x:c>
      <x:c r="B8" s="40" t="str"/>
      <x:c r="C8" s="76" t="n">
        <x:v>0.8</x:v>
      </x:c>
    </x:row>
    <x:row r="9">
      <x:c r="A9" s="75" t="str">
        <x:v>Intervention site pre readmission rate</x:v>
      </x:c>
      <x:c r="B9" s="40" t="str"/>
      <x:c r="C9" s="76" t="n">
        <x:v>0</x:v>
      </x:c>
    </x:row>
    <x:row r="10">
      <x:c r="A10" s="75" t="str">
        <x:v>Intervention site post readmission rate</x:v>
      </x:c>
      <x:c r="B10" s="40" t="str"/>
      <x:c r="C10" s="76" t="n">
        <x:v>0</x:v>
      </x:c>
    </x:row>
    <x:row r="11">
      <x:c r="A11" s="75" t="str">
        <x:v>Control site pre readmission rate</x:v>
      </x:c>
      <x:c r="B11" s="40" t="str"/>
      <x:c r="C11" s="76" t="n">
        <x:v>0</x:v>
      </x:c>
    </x:row>
    <x:row r="12">
      <x:c r="A12" s="77" t="str">
        <x:v>Control site post readmission rate</x:v>
      </x:c>
      <x:c r="B12" s="78" t="str"/>
      <x:c r="C12" s="79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Local Validation and Causal Evaluation of a Readmission Model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Difference-in-differences</x:v>
      </x:c>
      <x:c r="B5" s="74" t="str">
        <x:v>-1.5 percentage points</x:v>
      </x:c>
    </x:row>
    <x:row r="6">
      <x:c r="A6" s="77" t="str">
        <x:v>Validation conclusion</x:v>
      </x:c>
      <x:c r="B6" s="79" t="str">
        <x:v>Recalibration and subgroup safeguards required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Local performance does not reproduce the vendor result, calibration is inadequate, and the minority-language subgroup is below the acceptability threshold. The intervention site improves by 2.2 percentage points and the control site by 0.7 points, yielding a difference-in-differences estimate of -1.5 percentage points. This applies to the complete pathway, not the model alone. Recalibration, subgroup safeguards, and prospective evaluation are required before scale.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