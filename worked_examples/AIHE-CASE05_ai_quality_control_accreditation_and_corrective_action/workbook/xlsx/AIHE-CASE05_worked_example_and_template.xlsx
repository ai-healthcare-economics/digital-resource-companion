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ca703227834a76" /></Relationships>
</file>

<file path=xl/workbook.xml><?xml version="1.0" encoding="utf-8"?>
<x:workbook xmlns:x="http://schemas.openxmlformats.org/spreadsheetml/2006/main">
  <x:sheets>
    <x:sheet xmlns:r="http://schemas.openxmlformats.org/officeDocument/2006/relationships" name="Guide" sheetId="1" r:id="R2f175ec202334f4f"/>
    <x:sheet xmlns:r="http://schemas.openxmlformats.org/officeDocument/2006/relationships" name="Worked Inputs" sheetId="2" r:id="R36392f7b731a4856"/>
    <x:sheet xmlns:r="http://schemas.openxmlformats.org/officeDocument/2006/relationships" name="Blank Template" sheetId="3" r:id="Ra765a694b1cf4c7a"/>
    <x:sheet xmlns:r="http://schemas.openxmlformats.org/officeDocument/2006/relationships" name="Decision Summary" sheetId="4" r:id="R7826478b72ba4b0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re"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re"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re" wrapText="1"/>
    </x:xf>
    <x:xf numFmtId="0" fontId="2" fillId="3" borderId="3" xfId="0" applyNumberFormat="1" applyFont="1" applyFill="1" applyBorder="1" applyAlignment="1">
      <x:alignment horizontal="centre" wrapText="1"/>
    </x:xf>
    <x:xf numFmtId="0" fontId="2" fillId="3" borderId="4" xfId="0" applyNumberFormat="1" applyFont="1" applyFill="1" applyBorder="1" applyAlignment="1">
      <x:alignment horizontal="centre" wrapText="1"/>
    </x:xf>
    <x:xf numFmtId="0" fontId="2" fillId="3" borderId="2" xfId="0" applyNumberFormat="1" applyFont="1" applyFill="1" applyBorder="1" applyAlignment="1">
      <x:alignment horizontal="centre" vertical="centre" wrapText="1"/>
    </x:xf>
    <x:xf numFmtId="0" fontId="2" fillId="3" borderId="3" xfId="0" applyNumberFormat="1" applyFont="1" applyFill="1" applyBorder="1" applyAlignment="1">
      <x:alignment horizontal="centre" vertical="centre" wrapText="1"/>
    </x:xf>
    <x:xf numFmtId="0" fontId="2" fillId="3" borderId="4" xfId="0" applyNumberFormat="1" applyFont="1" applyFill="1" applyBorder="1" applyAlignment="1">
      <x:alignment horizontal="centre" vertical="centre"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re" wrapText="1"/>
    </x:xf>
    <x:xf numFmtId="0" fontId="2" fillId="3" borderId="6" xfId="0" applyNumberFormat="1" applyFont="1" applyFill="1" applyBorder="1" applyAlignment="1">
      <x:alignment horizontal="centre" wrapText="1"/>
    </x:xf>
    <x:xf numFmtId="0" fontId="2" fillId="3" borderId="7" xfId="0" applyNumberFormat="1" applyFont="1" applyFill="1" applyBorder="1" applyAlignment="1">
      <x:alignment horizontal="centre" wrapText="1"/>
    </x:xf>
    <x:xf numFmtId="0" fontId="2" fillId="3" borderId="5" xfId="0" applyNumberFormat="1" applyFont="1" applyFill="1" applyBorder="1" applyAlignment="1">
      <x:alignment horizontal="centre" vertical="centre" wrapText="1"/>
    </x:xf>
    <x:xf numFmtId="0" fontId="2" fillId="3" borderId="6" xfId="0" applyNumberFormat="1" applyFont="1" applyFill="1" applyBorder="1" applyAlignment="1">
      <x:alignment horizontal="centre" vertical="centre" wrapText="1"/>
    </x:xf>
    <x:xf numFmtId="0" fontId="2" fillId="3" borderId="7" xfId="0" applyNumberFormat="1" applyFont="1" applyFill="1" applyBorder="1" applyAlignment="1">
      <x:alignment horizontal="centre" vertical="centre"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re" wrapText="1"/>
    </x:xf>
    <x:xf numFmtId="0" fontId="2" fillId="3" borderId="15" xfId="0" applyNumberFormat="1" applyFont="1" applyFill="1" applyBorder="1" applyAlignment="1">
      <x:alignment horizontal="centre" wrapText="1"/>
    </x:xf>
    <x:xf numFmtId="0" fontId="2" fillId="3" borderId="16" xfId="0" applyNumberFormat="1" applyFont="1" applyFill="1" applyBorder="1" applyAlignment="1">
      <x:alignment horizontal="centre" wrapText="1"/>
    </x:xf>
    <x:xf numFmtId="0" fontId="2" fillId="3" borderId="14" xfId="0" applyNumberFormat="1" applyFont="1" applyFill="1" applyBorder="1" applyAlignment="1">
      <x:alignment horizontal="centre" vertical="centre" wrapText="1"/>
    </x:xf>
    <x:xf numFmtId="0" fontId="2" fillId="3" borderId="15" xfId="0" applyNumberFormat="1" applyFont="1" applyFill="1" applyBorder="1" applyAlignment="1">
      <x:alignment horizontal="centre" vertical="centre" wrapText="1"/>
    </x:xf>
    <x:xf numFmtId="0" fontId="2" fillId="3" borderId="16" xfId="0" applyNumberFormat="1" applyFont="1" applyFill="1" applyBorder="1" applyAlignment="1">
      <x:alignment horizontal="centre" vertical="centre"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re" wrapText="1"/>
    </x:xf>
    <x:xf numFmtId="0" fontId="2" fillId="3" borderId="18" xfId="0" applyNumberFormat="1" applyFont="1" applyFill="1" applyBorder="1" applyAlignment="1">
      <x:alignment horizontal="centre" wrapText="1"/>
    </x:xf>
    <x:xf numFmtId="0" fontId="2" fillId="3" borderId="19" xfId="0" applyNumberFormat="1" applyFont="1" applyFill="1" applyBorder="1" applyAlignment="1">
      <x:alignment horizontal="centre" wrapText="1"/>
    </x:xf>
    <x:xf numFmtId="0" fontId="2" fillId="3" borderId="17" xfId="0" applyNumberFormat="1" applyFont="1" applyFill="1" applyBorder="1" applyAlignment="1">
      <x:alignment horizontal="centre" vertical="centre" wrapText="1"/>
    </x:xf>
    <x:xf numFmtId="0" fontId="2" fillId="3" borderId="18" xfId="0" applyNumberFormat="1" applyFont="1" applyFill="1" applyBorder="1" applyAlignment="1">
      <x:alignment horizontal="centre" vertical="centre" wrapText="1"/>
    </x:xf>
    <x:xf numFmtId="0" fontId="2" fillId="3" borderId="19" xfId="0" applyNumberFormat="1" applyFont="1" applyFill="1" applyBorder="1" applyAlignment="1">
      <x:alignment horizontal="centre" vertical="centre"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horizontal="centre" wrapText="1"/>
    </x:xf>
    <x:xf numFmtId="0" fontId="2" fillId="3" borderId="36" xfId="0" applyNumberFormat="1" applyFont="1" applyFill="1" applyBorder="1" applyAlignment="1">
      <x:alignment horizontal="centre" vertical="centre"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horizontal="centre" wrapText="1"/>
    </x:xf>
    <x:xf numFmtId="0" fontId="2" fillId="3" borderId="37" xfId="0" applyNumberFormat="1" applyFont="1" applyFill="1" applyBorder="1" applyAlignment="1">
      <x:alignment horizontal="centre" vertical="centre"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01efe42ddf44f6" /><Relationship Type="http://schemas.openxmlformats.org/officeDocument/2006/relationships/theme" Target="/xl/theme/theme1.xml" Id="R69d8235f194d4fce" /><Relationship Type="http://schemas.openxmlformats.org/officeDocument/2006/relationships/sharedStrings" Target="/xl/sharedStrings.xml" Id="R7fe533afe74741f3" /><Relationship Type="http://schemas.openxmlformats.org/officeDocument/2006/relationships/worksheet" Target="/xl/worksheets/sheet1.xml" Id="R2f175ec202334f4f" /><Relationship Type="http://schemas.openxmlformats.org/officeDocument/2006/relationships/worksheet" Target="/xl/worksheets/sheet2.xml" Id="R36392f7b731a4856" /><Relationship Type="http://schemas.openxmlformats.org/officeDocument/2006/relationships/worksheet" Target="/xl/worksheets/sheet3.xml" Id="Ra765a694b1cf4c7a" /><Relationship Type="http://schemas.openxmlformats.org/officeDocument/2006/relationships/worksheet" Target="/xl/worksheets/sheet4.xml" Id="R7826478b72ba4b00"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AI Quality-Control, Accreditation, and Corrective Action</x:v>
      </x:c>
      <x:c r="B1" s="5"/>
      <x:c r="C1" s="5"/>
      <x:c r="D1" s="5"/>
      <x:c r="E1" s="5"/>
      <x:c r="F1" s="5"/>
    </x:row>
    <x:row r="2">
      <x:c r="A2" s="5"/>
      <x:c r="B2" s="5"/>
      <x:c r="C2" s="5"/>
      <x:c r="D2" s="5"/>
      <x:c r="E2" s="5"/>
      <x:c r="F2" s="5"/>
    </x:row>
    <x:row r="4">
      <x:c r="A4" s="21" t="str">
        <x:v>Example ID</x:v>
      </x:c>
      <x:c r="B4" s="42" t="str">
        <x:v>AIHE-CASE05</x:v>
      </x:c>
    </x:row>
    <x:row r="5">
      <x:c r="A5" s="22" t="str">
        <x:v>Chapter</x:v>
      </x:c>
      <x:c r="B5" s="43" t="str">
        <x:v>5: Quality, Accreditation, and Organizational Learning</x:v>
      </x:c>
    </x:row>
    <x:row r="6">
      <x:c r="A6" s="22" t="str">
        <x:v>Decision question</x:v>
      </x:c>
      <x:c r="B6" s="43" t="str">
        <x:v>When should a change in performance trigger investigation, restriction, and corrective action within the quality-management system?</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AIHE-C01, AIHE-C02, AIHE-I, AIHE-S, AIHE-EX12</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18" hidden="0" customWidth="1"/>
    <x:col min="8" max="8" width="24" hidden="0" customWidth="1"/>
    <x:col min="9" max="9" width="42" hidden="0" customWidth="1"/>
  </x:cols>
  <x:sheetData>
    <x:row r="1">
      <x:c r="A1" s="5" t="str">
        <x:v>Worked synthetic inputs and calculations</x:v>
      </x:c>
      <x:c r="B1" s="5"/>
      <x:c r="C1" s="5"/>
      <x:c r="D1" s="5"/>
      <x:c r="E1" s="5"/>
      <x:c r="F1" s="5"/>
      <x:c r="G1" s="5"/>
      <x:c r="H1" s="5"/>
      <x:c r="I1" s="5"/>
      <x:c r="J1" s="5"/>
    </x:row>
    <x:row r="3">
      <x:c r="A3" s="57" t="str">
        <x:v>Month</x:v>
      </x:c>
      <x:c r="B3" s="58" t="str">
        <x:v>False-negative rate</x:v>
      </x:c>
      <x:c r="C3" s="58" t="str">
        <x:v>Alerts/day</x:v>
      </x:c>
      <x:c r="D3" s="58" t="str">
        <x:v>Downtime hours</x:v>
      </x:c>
      <x:c r="E3" s="59" t="str">
        <x:v>Complaints</x:v>
      </x:c>
      <x:c r="F3" s="91" t="str">
        <x:v>Signal</x:v>
      </x:c>
      <x:c r="H3" s="57" t="str">
        <x:v>Control</x:v>
      </x:c>
      <x:c r="I3" s="59" t="str">
        <x:v>Value</x:v>
      </x:c>
    </x:row>
    <x:row r="4">
      <x:c r="A4" s="72" t="n">
        <x:v>1</x:v>
      </x:c>
      <x:c r="B4" s="73" t="n">
        <x:v>0.09</x:v>
      </x:c>
      <x:c r="C4" s="73" t="n">
        <x:v>42</x:v>
      </x:c>
      <x:c r="D4" s="73" t="n">
        <x:v>0.5</x:v>
      </x:c>
      <x:c r="E4" s="74" t="n">
        <x:v>0</x:v>
      </x:c>
      <x:c r="F4" s="42" t="str">
        <x:f>IF(OR(B4&gt;$I$4,D4&gt;4,E4&gt;=3),"INVESTIGATE","")</x:f>
      </x:c>
      <x:c r="H4" s="72" t="str">
        <x:v>False-negative limit</x:v>
      </x:c>
      <x:c r="I4" s="74" t="n">
        <x:v>0.15</x:v>
      </x:c>
    </x:row>
    <x:row r="5">
      <x:c r="A5" s="75" t="n">
        <x:v>2</x:v>
      </x:c>
      <x:c r="B5" s="40" t="n">
        <x:v>0.1</x:v>
      </x:c>
      <x:c r="C5" s="40" t="n">
        <x:v>44</x:v>
      </x:c>
      <x:c r="D5" s="40" t="n">
        <x:v>0</x:v>
      </x:c>
      <x:c r="E5" s="76" t="n">
        <x:v>0</x:v>
      </x:c>
      <x:c r="F5" s="43" t="str">
        <x:f>IF(OR(B5&gt;$I$4,D5&gt;4,E5&gt;=3),"INVESTIGATE","")</x:f>
      </x:c>
      <x:c r="H5" s="75" t="str">
        <x:v>Signal months</x:v>
      </x:c>
      <x:c r="I5" s="76" t="n">
        <x:f>COUNTIF(F4:F15,"INVESTIGATE")</x:f>
        <x:v>3</x:v>
      </x:c>
    </x:row>
    <x:row r="6">
      <x:c r="A6" s="75" t="n">
        <x:v>3</x:v>
      </x:c>
      <x:c r="B6" s="40" t="n">
        <x:v>0.11</x:v>
      </x:c>
      <x:c r="C6" s="40" t="n">
        <x:v>43</x:v>
      </x:c>
      <x:c r="D6" s="40" t="n">
        <x:v>1</x:v>
      </x:c>
      <x:c r="E6" s="76" t="n">
        <x:v>1</x:v>
      </x:c>
      <x:c r="F6" s="43" t="str">
        <x:f>IF(OR(B6&gt;$I$4,D6&gt;4,E6&gt;=3),"INVESTIGATE","")</x:f>
      </x:c>
      <x:c r="H6" s="77" t="str">
        <x:v>Action</x:v>
      </x:c>
      <x:c r="I6" s="79" t="str">
        <x:f>IF(I5&gt;0,"Contain, investigate, and verify CAPA","Continue monitoring")</x:f>
        <x:v>Contain, investigate, and verify CAPA</x:v>
      </x:c>
    </x:row>
    <x:row r="7">
      <x:c r="A7" s="75" t="n">
        <x:v>4</x:v>
      </x:c>
      <x:c r="B7" s="40" t="n">
        <x:v>0.09</x:v>
      </x:c>
      <x:c r="C7" s="40" t="n">
        <x:v>45</x:v>
      </x:c>
      <x:c r="D7" s="40" t="n">
        <x:v>0</x:v>
      </x:c>
      <x:c r="E7" s="76" t="n">
        <x:v>0</x:v>
      </x:c>
      <x:c r="F7" s="43" t="str">
        <x:f>IF(OR(B7&gt;$I$4,D7&gt;4,E7&gt;=3),"INVESTIGATE","")</x:f>
      </x:c>
    </x:row>
    <x:row r="8">
      <x:c r="A8" s="75" t="n">
        <x:v>5</x:v>
      </x:c>
      <x:c r="B8" s="40" t="n">
        <x:v>0.1</x:v>
      </x:c>
      <x:c r="C8" s="40" t="n">
        <x:v>46</x:v>
      </x:c>
      <x:c r="D8" s="40" t="n">
        <x:v>0.5</x:v>
      </x:c>
      <x:c r="E8" s="76" t="n">
        <x:v>0</x:v>
      </x:c>
      <x:c r="F8" s="43" t="str">
        <x:f>IF(OR(B8&gt;$I$4,D8&gt;4,E8&gt;=3),"INVESTIGATE","")</x:f>
      </x:c>
    </x:row>
    <x:row r="9">
      <x:c r="A9" s="75" t="n">
        <x:v>6</x:v>
      </x:c>
      <x:c r="B9" s="40" t="n">
        <x:v>0.12</x:v>
      </x:c>
      <x:c r="C9" s="40" t="n">
        <x:v>47</x:v>
      </x:c>
      <x:c r="D9" s="40" t="n">
        <x:v>1</x:v>
      </x:c>
      <x:c r="E9" s="76" t="n">
        <x:v>1</x:v>
      </x:c>
      <x:c r="F9" s="43" t="str">
        <x:f>IF(OR(B9&gt;$I$4,D9&gt;4,E9&gt;=3),"INVESTIGATE","")</x:f>
      </x:c>
    </x:row>
    <x:row r="10">
      <x:c r="A10" s="75" t="n">
        <x:v>7</x:v>
      </x:c>
      <x:c r="B10" s="40" t="n">
        <x:v>0.1</x:v>
      </x:c>
      <x:c r="C10" s="40" t="n">
        <x:v>45</x:v>
      </x:c>
      <x:c r="D10" s="40" t="n">
        <x:v>0</x:v>
      </x:c>
      <x:c r="E10" s="76" t="n">
        <x:v>0</x:v>
      </x:c>
      <x:c r="F10" s="43" t="str">
        <x:f>IF(OR(B10&gt;$I$4,D10&gt;4,E10&gt;=3),"INVESTIGATE","")</x:f>
      </x:c>
    </x:row>
    <x:row r="11">
      <x:c r="A11" s="75" t="n">
        <x:v>8</x:v>
      </x:c>
      <x:c r="B11" s="40" t="n">
        <x:v>0.18</x:v>
      </x:c>
      <x:c r="C11" s="40" t="n">
        <x:v>71</x:v>
      </x:c>
      <x:c r="D11" s="40" t="n">
        <x:v>5</x:v>
      </x:c>
      <x:c r="E11" s="76" t="n">
        <x:v>3</x:v>
      </x:c>
      <x:c r="F11" s="43" t="str">
        <x:f>IF(OR(B11&gt;$I$4,D11&gt;4,E11&gt;=3),"INVESTIGATE","")</x:f>
        <x:v>INVESTIGATE</x:v>
      </x:c>
    </x:row>
    <x:row r="12">
      <x:c r="A12" s="75" t="n">
        <x:v>9</x:v>
      </x:c>
      <x:c r="B12" s="40" t="n">
        <x:v>0.17</x:v>
      </x:c>
      <x:c r="C12" s="40" t="n">
        <x:v>69</x:v>
      </x:c>
      <x:c r="D12" s="40" t="n">
        <x:v>3.5</x:v>
      </x:c>
      <x:c r="E12" s="76" t="n">
        <x:v>2</x:v>
      </x:c>
      <x:c r="F12" s="43" t="str">
        <x:f>IF(OR(B12&gt;$I$4,D12&gt;4,E12&gt;=3),"INVESTIGATE","")</x:f>
        <x:v>INVESTIGATE</x:v>
      </x:c>
    </x:row>
    <x:row r="13">
      <x:c r="A13" s="75" t="n">
        <x:v>10</x:v>
      </x:c>
      <x:c r="B13" s="40" t="n">
        <x:v>0.16</x:v>
      </x:c>
      <x:c r="C13" s="40" t="n">
        <x:v>65</x:v>
      </x:c>
      <x:c r="D13" s="40" t="n">
        <x:v>2</x:v>
      </x:c>
      <x:c r="E13" s="76" t="n">
        <x:v>2</x:v>
      </x:c>
      <x:c r="F13" s="43" t="str">
        <x:f>IF(OR(B13&gt;$I$4,D13&gt;4,E13&gt;=3),"INVESTIGATE","")</x:f>
        <x:v>INVESTIGATE</x:v>
      </x:c>
    </x:row>
    <x:row r="14">
      <x:c r="A14" s="75" t="n">
        <x:v>11</x:v>
      </x:c>
      <x:c r="B14" s="40" t="n">
        <x:v>0.13</x:v>
      </x:c>
      <x:c r="C14" s="40" t="n">
        <x:v>51</x:v>
      </x:c>
      <x:c r="D14" s="40" t="n">
        <x:v>1</x:v>
      </x:c>
      <x:c r="E14" s="76" t="n">
        <x:v>1</x:v>
      </x:c>
      <x:c r="F14" s="43" t="str">
        <x:f>IF(OR(B14&gt;$I$4,D14&gt;4,E14&gt;=3),"INVESTIGATE","")</x:f>
      </x:c>
    </x:row>
    <x:row r="15">
      <x:c r="A15" s="77" t="n">
        <x:v>12</x:v>
      </x:c>
      <x:c r="B15" s="78" t="n">
        <x:v>0.11</x:v>
      </x:c>
      <x:c r="C15" s="78" t="n">
        <x:v>47</x:v>
      </x:c>
      <x:c r="D15" s="78" t="n">
        <x:v>0.5</x:v>
      </x:c>
      <x:c r="E15" s="79" t="n">
        <x:v>0</x:v>
      </x:c>
      <x:c r="F15" s="44" t="str">
        <x:f>IF(OR(B15&gt;$I$4,D15&gt;4,E15&gt;=3),"INVESTIGATE","")</x:f>
      </x:c>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s>
  <x:sheetData>
    <x:row r="1">
      <x:c r="A1" s="5" t="str">
        <x:v>Blank template - replace synthetic values with governed local evidence</x:v>
      </x:c>
      <x:c r="B1" s="5"/>
      <x:c r="C1" s="5"/>
      <x:c r="D1" s="5"/>
      <x:c r="E1" s="5"/>
    </x:row>
    <x:row r="3">
      <x:c r="A3" s="57" t="str">
        <x:v>Month</x:v>
      </x:c>
      <x:c r="B3" s="58" t="str">
        <x:v>False-negative rate</x:v>
      </x:c>
      <x:c r="C3" s="58" t="str">
        <x:v>Alerts/day</x:v>
      </x:c>
      <x:c r="D3" s="58" t="str">
        <x:v>Downtime hours</x:v>
      </x:c>
      <x:c r="E3" s="59" t="str">
        <x:v>Complaints</x:v>
      </x:c>
    </x:row>
    <x:row r="4">
      <x:c r="A4" s="72" t="n">
        <x:v>1</x:v>
      </x:c>
      <x:c r="B4" s="73" t="str"/>
      <x:c r="C4" s="73" t="str"/>
      <x:c r="D4" s="73" t="str"/>
      <x:c r="E4" s="74" t="str"/>
    </x:row>
    <x:row r="5">
      <x:c r="A5" s="75" t="n">
        <x:v>2</x:v>
      </x:c>
      <x:c r="B5" s="40" t="str"/>
      <x:c r="C5" s="40" t="str"/>
      <x:c r="D5" s="40" t="str"/>
      <x:c r="E5" s="76" t="str"/>
    </x:row>
    <x:row r="6">
      <x:c r="A6" s="75" t="n">
        <x:v>3</x:v>
      </x:c>
      <x:c r="B6" s="40" t="str"/>
      <x:c r="C6" s="40" t="str"/>
      <x:c r="D6" s="40" t="str"/>
      <x:c r="E6" s="76" t="str"/>
    </x:row>
    <x:row r="7">
      <x:c r="A7" s="75" t="n">
        <x:v>4</x:v>
      </x:c>
      <x:c r="B7" s="40" t="str"/>
      <x:c r="C7" s="40" t="str"/>
      <x:c r="D7" s="40" t="str"/>
      <x:c r="E7" s="76" t="str"/>
    </x:row>
    <x:row r="8">
      <x:c r="A8" s="75" t="n">
        <x:v>5</x:v>
      </x:c>
      <x:c r="B8" s="40" t="str"/>
      <x:c r="C8" s="40" t="str"/>
      <x:c r="D8" s="40" t="str"/>
      <x:c r="E8" s="76" t="str"/>
    </x:row>
    <x:row r="9">
      <x:c r="A9" s="75" t="n">
        <x:v>6</x:v>
      </x:c>
      <x:c r="B9" s="40" t="str"/>
      <x:c r="C9" s="40" t="str"/>
      <x:c r="D9" s="40" t="str"/>
      <x:c r="E9" s="76" t="str"/>
    </x:row>
    <x:row r="10">
      <x:c r="A10" s="75" t="n">
        <x:v>7</x:v>
      </x:c>
      <x:c r="B10" s="40" t="str"/>
      <x:c r="C10" s="40" t="str"/>
      <x:c r="D10" s="40" t="str"/>
      <x:c r="E10" s="76" t="str"/>
    </x:row>
    <x:row r="11">
      <x:c r="A11" s="75" t="n">
        <x:v>8</x:v>
      </x:c>
      <x:c r="B11" s="40" t="str"/>
      <x:c r="C11" s="40" t="str"/>
      <x:c r="D11" s="40" t="str"/>
      <x:c r="E11" s="76" t="str"/>
    </x:row>
    <x:row r="12">
      <x:c r="A12" s="75" t="n">
        <x:v>9</x:v>
      </x:c>
      <x:c r="B12" s="40" t="str"/>
      <x:c r="C12" s="40" t="str"/>
      <x:c r="D12" s="40" t="str"/>
      <x:c r="E12" s="76" t="str"/>
    </x:row>
    <x:row r="13">
      <x:c r="A13" s="75" t="n">
        <x:v>10</x:v>
      </x:c>
      <x:c r="B13" s="40" t="str"/>
      <x:c r="C13" s="40" t="str"/>
      <x:c r="D13" s="40" t="str"/>
      <x:c r="E13" s="76" t="str"/>
    </x:row>
    <x:row r="14">
      <x:c r="A14" s="75" t="n">
        <x:v>11</x:v>
      </x:c>
      <x:c r="B14" s="40" t="str"/>
      <x:c r="C14" s="40" t="str"/>
      <x:c r="D14" s="40" t="str"/>
      <x:c r="E14" s="76" t="str"/>
    </x:row>
    <x:row r="15">
      <x:c r="A15" s="77" t="n">
        <x:v>12</x:v>
      </x:c>
      <x:c r="B15" s="78" t="str"/>
      <x:c r="C15" s="78" t="str"/>
      <x:c r="D15" s="78" t="str"/>
      <x:c r="E15" s="79" t="str"/>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AI Quality-Control, Accreditation, and Corrective Action</x:v>
      </x:c>
      <x:c r="B1" s="5"/>
      <x:c r="C1" s="5"/>
      <x:c r="D1" s="5"/>
      <x:c r="E1" s="5"/>
      <x:c r="F1" s="5"/>
    </x:row>
    <x:row r="2">
      <x:c r="A2" s="5"/>
      <x:c r="B2" s="5"/>
      <x:c r="C2" s="5"/>
      <x:c r="D2" s="5"/>
      <x:c r="E2" s="5"/>
      <x:c r="F2" s="5"/>
    </x:row>
    <x:row r="4">
      <x:c r="A4" s="57" t="str">
        <x:v>Reference metric</x:v>
      </x:c>
      <x:c r="B4" s="59" t="str">
        <x:v>Synthetic result</x:v>
      </x:c>
    </x:row>
    <x:row r="5">
      <x:c r="A5" s="72" t="str">
        <x:v>Primary signal</x:v>
      </x:c>
      <x:c r="B5" s="74" t="str">
        <x:v>Month 8 after software update</x:v>
      </x:c>
    </x:row>
    <x:row r="6">
      <x:c r="A6" s="77" t="str">
        <x:v>Action</x:v>
      </x:c>
      <x:c r="B6" s="79" t="str">
        <x:v>Restrict updated version, investigate, and verify corrective action</x:v>
      </x:c>
    </x:row>
    <x:row r="8">
      <x:c r="A8" s="97" t="str">
        <x:v>Worked interpretation</x:v>
      </x:c>
      <x:c r="B8" s="97"/>
      <x:c r="C8" s="97"/>
      <x:c r="D8" s="97"/>
      <x:c r="E8" s="97"/>
      <x:c r="F8" s="97"/>
    </x:row>
    <x:row r="9">
      <x:c r="A9" s="102" t="str">
        <x:v>The month-eight change breaches the false-negative limit and coincides with higher alert volume, downtime, and complaints. Immediate containment should restrict the updated version while the team reconstructs data, model, interface, and workflow changes. Closure requires evidence that corrective action restored performance, affected records and users were addressed, and version and update controls were improved.</x:v>
      </x:c>
      <x:c r="B9" s="102"/>
      <x:c r="C9" s="102"/>
      <x:c r="D9" s="102"/>
      <x:c r="E9" s="102"/>
      <x:c r="F9" s="102"/>
    </x:row>
    <x:row r="10">
      <x:c r="A10" s="102"/>
      <x:c r="B10" s="102"/>
      <x:c r="C10" s="102"/>
      <x:c r="D10" s="102"/>
      <x:c r="E10" s="102"/>
      <x:c r="F10" s="102"/>
    </x:row>
    <x:row r="11">
      <x:c r="A11" s="102"/>
      <x:c r="B11" s="102"/>
      <x:c r="C11" s="102"/>
      <x:c r="D11" s="102"/>
      <x:c r="E11" s="102"/>
      <x:c r="F11" s="102"/>
    </x:row>
    <x:row r="12">
      <x:c r="A12" s="102"/>
      <x:c r="B12" s="102"/>
      <x:c r="C12" s="102"/>
      <x:c r="D12" s="102"/>
      <x:c r="E12" s="102"/>
      <x:c r="F12" s="102"/>
    </x:row>
    <x:row r="13">
      <x:c r="A13" s="102"/>
      <x:c r="B13" s="102"/>
      <x:c r="C13" s="102"/>
      <x:c r="D13" s="102"/>
      <x:c r="E13" s="102"/>
      <x:c r="F13" s="102"/>
    </x:row>
    <x:row r="15">
      <x:c r="A15" s="108" t="str">
        <x:v>Interpret calculations with evidence quality, uncertainty, mandatory safeguards, implementation capacity, monitoring, and exit conditions.</x:v>
      </x:c>
      <x:c r="B15" s="108"/>
      <x:c r="C15" s="108"/>
      <x:c r="D15" s="108"/>
      <x:c r="E15" s="108"/>
      <x:c r="F15" s="108"/>
    </x:row>
  </x:sheetData>
  <x:mergeCells>
    <x:mergeCell ref="A1:F2"/>
    <x:mergeCell ref="A8:F8"/>
    <x:mergeCell ref="A9:F13"/>
    <x:mergeCell ref="A15:F15"/>
  </x:mergeCells>
  <x:pageMargins left="0.7" right="0.7" top="0.75" bottom="0.75" header="0.3" footer="0.3"/>
</x:worksheet>
</file>