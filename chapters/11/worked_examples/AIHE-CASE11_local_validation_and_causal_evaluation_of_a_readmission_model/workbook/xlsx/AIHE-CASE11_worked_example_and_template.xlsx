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0a884a4c3e41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58f1d1d5b3d14d72"/>
    <x:sheet xmlns:r="http://schemas.openxmlformats.org/officeDocument/2006/relationships" name="Worked Inputs" sheetId="2" r:id="Rc19c6de463244fb5"/>
    <x:sheet xmlns:r="http://schemas.openxmlformats.org/officeDocument/2006/relationships" name="Blank Template" sheetId="3" r:id="R0a50f4f34d724a41"/>
    <x:sheet xmlns:r="http://schemas.openxmlformats.org/officeDocument/2006/relationships" name="Decision Summary" sheetId="4" r:id="R38c2a882b87d4e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23313D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7A1731"/>
      </x:patternFill>
    </x:fill>
    <x:fill>
      <x:patternFill patternType="solid">
        <x:fgColor rgb="FFE8DDD5"/>
      </x:patternFill>
    </x:fill>
    <x:fill>
      <x:patternFill patternType="solid">
        <x:fgColor rgb="FFB38A52"/>
      </x:patternFill>
    </x:fill>
    <x:fill>
      <x:patternFill patternType="solid">
        <x:fgColor rgb="FFF7F3EF"/>
      </x:patternFill>
    </x:fill>
    <x:fill>
      <x:patternFill patternType="solid">
        <x:fgColor rgb="FFFFF3CD"/>
      </x:patternFill>
    </x:fill>
  </x:fills>
  <x:borders count="36">
    <x:border/>
    <x:border/>
    <x:border>
      <x:left style="thin">
        <x:color rgb="FFB7A89F"/>
      </x:left>
      <x:right style="thin">
        <x:color rgb="FFB7A89F"/>
      </x:right>
      <x:top style="thin">
        <x:color rgb="FFB7A89F"/>
      </x:top>
    </x:border>
    <x:border>
      <x:left style="thin">
        <x:color rgb="FFB7A89F"/>
      </x:left>
      <x:right style="thin">
        <x:color rgb="FFB7A89F"/>
      </x:right>
    </x:border>
    <x:border>
      <x:left style="thin">
        <x:color rgb="FFB7A89F"/>
      </x:left>
      <x:right style="thin">
        <x:color rgb="FFB7A89F"/>
      </x:right>
      <x:bottom style="thin">
        <x:color rgb="FFB7A89F"/>
      </x:bottom>
    </x:border>
    <x:border>
      <x:left style="thin">
        <x:color rgb="FFB7A89F"/>
      </x:left>
      <x:right style="thin">
        <x:color rgb="FFB7A89F"/>
      </x:right>
      <x:top style="thin">
        <x:color rgb="FFB7A89F"/>
      </x:top>
    </x:border>
    <x:border>
      <x:left style="thin">
        <x:color rgb="FFB7A89F"/>
      </x:left>
      <x:right style="thin">
        <x:color rgb="FFB7A89F"/>
      </x:right>
    </x:border>
    <x:border>
      <x:left style="thin">
        <x:color rgb="FFB7A89F"/>
      </x:left>
      <x:right style="thin">
        <x:color rgb="FFB7A89F"/>
      </x:right>
      <x:bottom style="thin">
        <x:color rgb="FFB7A89F"/>
      </x:bottom>
    </x:border>
    <x:border>
      <x:left style="thin">
        <x:color rgb="FFDED6D0"/>
      </x:left>
      <x:right style="thin">
        <x:color rgb="FFDED6D0"/>
      </x:right>
      <x:top style="thin">
        <x:color rgb="FFDED6D0"/>
      </x:top>
    </x:border>
    <x:border>
      <x:left style="thin">
        <x:color rgb="FFDED6D0"/>
      </x:left>
      <x:right style="thin">
        <x:color rgb="FFDED6D0"/>
      </x:right>
    </x:border>
    <x:border>
      <x:left style="thin">
        <x:color rgb="FFDED6D0"/>
      </x:left>
      <x:right style="thin">
        <x:color rgb="FFDED6D0"/>
      </x:right>
      <x:bottom style="thin">
        <x:color rgb="FFDED6D0"/>
      </x:bottom>
    </x:border>
    <x:border>
      <x:left style="thin">
        <x:color rgb="FFDED6D0"/>
      </x:left>
      <x:right style="thin">
        <x:color rgb="FFDED6D0"/>
      </x:right>
      <x:top style="thin">
        <x:color rgb="FFDED6D0"/>
      </x:top>
    </x:border>
    <x:border>
      <x:left style="thin">
        <x:color rgb="FFDED6D0"/>
      </x:left>
      <x:right style="thin">
        <x:color rgb="FFDED6D0"/>
      </x:right>
    </x:border>
    <x:border>
      <x:left style="thin">
        <x:color rgb="FFDED6D0"/>
      </x:left>
      <x:right style="thin">
        <x:color rgb="FFDED6D0"/>
      </x:right>
      <x:bottom style="thin">
        <x:color rgb="FFDED6D0"/>
      </x:bottom>
    </x:border>
    <x:border>
      <x:left style="thin">
        <x:color rgb="FFB7A89F"/>
      </x:left>
      <x:top style="thin">
        <x:color rgb="FFB7A89F"/>
      </x:top>
      <x:bottom style="thin">
        <x:color rgb="FFB7A89F"/>
      </x:bottom>
    </x:border>
    <x:border>
      <x:top style="thin">
        <x:color rgb="FFB7A89F"/>
      </x:top>
      <x:bottom style="thin">
        <x:color rgb="FFB7A89F"/>
      </x:bottom>
    </x:border>
    <x:border>
      <x:right style="thin">
        <x:color rgb="FFB7A89F"/>
      </x:right>
      <x:top style="thin">
        <x:color rgb="FFB7A89F"/>
      </x:top>
      <x:bottom style="thin">
        <x:color rgb="FFB7A89F"/>
      </x:bottom>
    </x:border>
    <x:border>
      <x:left style="thin">
        <x:color rgb="FFB7A89F"/>
      </x:left>
      <x:top style="thin">
        <x:color rgb="FFB7A89F"/>
      </x:top>
      <x:bottom style="thin">
        <x:color rgb="FFB7A89F"/>
      </x:bottom>
    </x:border>
    <x:border>
      <x:top style="thin">
        <x:color rgb="FFB7A89F"/>
      </x:top>
      <x:bottom style="thin">
        <x:color rgb="FFB7A89F"/>
      </x:bottom>
    </x:border>
    <x:border>
      <x:right style="thin">
        <x:color rgb="FFB7A89F"/>
      </x:right>
      <x:top style="thin">
        <x:color rgb="FFB7A89F"/>
      </x:top>
      <x:bottom style="thin">
        <x:color rgb="FFB7A89F"/>
      </x:bottom>
    </x:border>
    <x:border>
      <x:left style="thin">
        <x:color rgb="FFDED6D0"/>
      </x:left>
      <x:top style="thin">
        <x:color rgb="FFDED6D0"/>
      </x:top>
    </x:border>
    <x:border>
      <x:top style="thin">
        <x:color rgb="FFDED6D0"/>
      </x:top>
    </x:border>
    <x:border>
      <x:right style="thin">
        <x:color rgb="FFDED6D0"/>
      </x:right>
      <x:top style="thin">
        <x:color rgb="FFDED6D0"/>
      </x:top>
    </x:border>
    <x:border>
      <x:left style="thin">
        <x:color rgb="FFDED6D0"/>
      </x:left>
    </x:border>
    <x:border>
      <x:right style="thin">
        <x:color rgb="FFDED6D0"/>
      </x:right>
    </x:border>
    <x:border>
      <x:left style="thin">
        <x:color rgb="FFDED6D0"/>
      </x:left>
      <x:bottom style="thin">
        <x:color rgb="FFDED6D0"/>
      </x:bottom>
    </x:border>
    <x:border>
      <x:bottom style="thin">
        <x:color rgb="FFDED6D0"/>
      </x:bottom>
    </x:border>
    <x:border>
      <x:right style="thin">
        <x:color rgb="FFDED6D0"/>
      </x:right>
      <x:bottom style="thin">
        <x:color rgb="FFDED6D0"/>
      </x:bottom>
    </x:border>
    <x:border>
      <x:left style="thin">
        <x:color rgb="FFDED6D0"/>
      </x:left>
      <x:top style="thin">
        <x:color rgb="FFDED6D0"/>
      </x:top>
    </x:border>
    <x:border>
      <x:top style="thin">
        <x:color rgb="FFDED6D0"/>
      </x:top>
    </x:border>
    <x:border>
      <x:right style="thin">
        <x:color rgb="FFDED6D0"/>
      </x:right>
      <x:top style="thin">
        <x:color rgb="FFDED6D0"/>
      </x:top>
    </x:border>
    <x:border>
      <x:left style="thin">
        <x:color rgb="FFDED6D0"/>
      </x:left>
    </x:border>
    <x:border>
      <x:right style="thin">
        <x:color rgb="FFDED6D0"/>
      </x:right>
    </x:border>
    <x:border>
      <x:left style="thin">
        <x:color rgb="FFDED6D0"/>
      </x:left>
      <x:bottom style="thin">
        <x:color rgb="FFDED6D0"/>
      </x:bottom>
    </x:border>
    <x:border>
      <x:bottom style="thin">
        <x:color rgb="FFDED6D0"/>
      </x:bottom>
    </x:border>
    <x:border>
      <x:right style="thin">
        <x:color rgb="FFDED6D0"/>
      </x:right>
      <x:bottom style="thin">
        <x:color rgb="FFDED6D0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16" xfId="0" applyNumberFormat="1" applyFont="1" applyFill="1" applyBorder="1"/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horizontal="center" wrapText="1"/>
    </x:xf>
    <x:xf numFmtId="0" fontId="2" fillId="3" borderId="15" xfId="0" applyNumberFormat="1" applyFont="1" applyFill="1" applyBorder="1" applyAlignment="1">
      <x:alignment horizontal="center" wrapText="1"/>
    </x:xf>
    <x:xf numFmtId="0" fontId="2" fillId="3" borderId="16" xfId="0" applyNumberFormat="1" applyFont="1" applyFill="1" applyBorder="1" applyAlignment="1">
      <x:alignment horizontal="center" wrapText="1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2" fillId="3" borderId="15" xfId="0" applyNumberFormat="1" applyFont="1" applyFill="1" applyBorder="1" applyAlignment="1">
      <x:alignment horizontal="center" vertical="center" wrapText="1"/>
    </x:xf>
    <x:xf numFmtId="0" fontId="2" fillId="3" borderId="16" xfId="0" applyNumberFormat="1" applyFont="1" applyFill="1" applyBorder="1" applyAlignment="1">
      <x:alignment horizontal="center" vertical="center" wrapText="1"/>
    </x:xf>
    <x:xf numFmtId="0" fontId="2" fillId="3" borderId="17" xfId="0" applyNumberFormat="1" applyFont="1" applyFill="1" applyBorder="1"/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horizontal="center" wrapText="1"/>
    </x:xf>
    <x:xf numFmtId="0" fontId="2" fillId="3" borderId="18" xfId="0" applyNumberFormat="1" applyFont="1" applyFill="1" applyBorder="1" applyAlignment="1">
      <x:alignment horizontal="center" wrapText="1"/>
    </x:xf>
    <x:xf numFmtId="0" fontId="2" fillId="3" borderId="19" xfId="0" applyNumberFormat="1" applyFont="1" applyFill="1" applyBorder="1" applyAlignment="1">
      <x:alignment horizontal="center" wrapText="1"/>
    </x:xf>
    <x:xf numFmtId="0" fontId="2" fillId="3" borderId="17" xfId="0" applyNumberFormat="1" applyFont="1" applyFill="1" applyBorder="1" applyAlignment="1">
      <x:alignment horizontal="center" vertical="center" wrapText="1"/>
    </x:xf>
    <x:xf numFmtId="0" fontId="2" fillId="3" borderId="18" xfId="0" applyNumberFormat="1" applyFont="1" applyFill="1" applyBorder="1" applyAlignment="1">
      <x:alignment horizontal="center" vertical="center" wrapText="1"/>
    </x:xf>
    <x:xf numFmtId="0" fontId="2" fillId="3" borderId="19" xfId="0" applyNumberFormat="1" applyFont="1" applyFill="1" applyBorder="1" applyAlignment="1">
      <x:alignment horizontal="center" vertical="center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d991ea16e544da" /><Relationship Type="http://schemas.openxmlformats.org/officeDocument/2006/relationships/theme" Target="/xl/theme/theme1.xml" Id="R9d353c8352004ca5" /><Relationship Type="http://schemas.openxmlformats.org/officeDocument/2006/relationships/sharedStrings" Target="/xl/sharedStrings.xml" Id="Rd4ea210cf37441a3" /><Relationship Type="http://schemas.openxmlformats.org/officeDocument/2006/relationships/worksheet" Target="/xl/worksheets/sheet1.xml" Id="R58f1d1d5b3d14d72" /><Relationship Type="http://schemas.openxmlformats.org/officeDocument/2006/relationships/worksheet" Target="/xl/worksheets/sheet2.xml" Id="Rc19c6de463244fb5" /><Relationship Type="http://schemas.openxmlformats.org/officeDocument/2006/relationships/worksheet" Target="/xl/worksheets/sheet3.xml" Id="R0a50f4f34d724a41" /><Relationship Type="http://schemas.openxmlformats.org/officeDocument/2006/relationships/worksheet" Target="/xl/worksheets/sheet4.xml" Id="R38c2a882b87d4e3c" /></Relationships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5" t="str">
        <x:v>Local Validation and Causal Evaluation of a Readmission Model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21" t="str">
        <x:v>Example ID</x:v>
      </x:c>
      <x:c r="B4" s="42" t="str">
        <x:v>AIHE-CASE11</x:v>
      </x:c>
    </x:row>
    <x:row r="5">
      <x:c r="A5" s="22" t="str">
        <x:v>Chapter</x:v>
      </x:c>
      <x:c r="B5" s="43" t="str">
        <x:v>11: Evidence, Validation, and Real-World Evaluation</x:v>
      </x:c>
    </x:row>
    <x:row r="6">
      <x:c r="A6" s="22" t="str">
        <x:v>Decision question</x:v>
      </x:c>
      <x:c r="B6" s="43" t="str">
        <x:v>Does local performance and observed service change support adoption, and what can reasonably be attributed to the AI-enabled pathway?</x:v>
      </x:c>
    </x:row>
    <x:row r="7">
      <x:c r="A7" s="22" t="str">
        <x:v>Status</x:v>
      </x:c>
      <x:c r="B7" s="43" t="str">
        <x:v>Synthetic demonstration only</x:v>
      </x:c>
    </x:row>
    <x:row r="8">
      <x:c r="A8" s="22" t="str">
        <x:v>Version</x:v>
      </x:c>
      <x:c r="B8" s="43" t="str">
        <x:v>V1.0</x:v>
      </x:c>
    </x:row>
    <x:row r="9">
      <x:c r="A9" s="22" t="str">
        <x:v>Release date</x:v>
      </x:c>
      <x:c r="B9" s="43" t="str">
        <x:v>2026-08-06</x:v>
      </x:c>
    </x:row>
    <x:row r="10">
      <x:c r="A10" s="22" t="str">
        <x:v>How to use</x:v>
      </x:c>
      <x:c r="B10" s="43" t="str">
        <x:v>Review Worked Inputs and Calculations; compare with Decision Summary; use Blank Template for local adaptation.</x:v>
      </x:c>
    </x:row>
    <x:row r="11">
      <x:c r="A11" s="22" t="str">
        <x:v>Related resources</x:v>
      </x:c>
      <x:c r="B11" s="43" t="str">
        <x:v>AIHE-B05, AIHE-EX05, AIHE-EX04, AIHE-V</x:v>
      </x:c>
    </x:row>
    <x:row r="12">
      <x:c r="A12" s="23" t="str">
        <x:v>Data protection</x:v>
      </x:c>
      <x:c r="B12" s="44" t="str">
        <x:v>Do not enter identifiable patient information, credentials, private keys, or confidential contract information into uncontrolled copies.</x:v>
      </x:c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42" hidden="0" customWidth="1"/>
    <x:col min="5" max="5" width="38" hidden="0" customWidth="1"/>
    <x:col min="6" max="6" width="52" hidden="0" customWidth="1"/>
  </x:cols>
  <x:sheetData>
    <x:row r="1">
      <x:c r="A1" s="5" t="str">
        <x:v>Worked synthetic inputs and calculations</x:v>
      </x:c>
      <x:c r="B1" s="5"/>
      <x:c r="C1" s="5"/>
      <x:c r="D1" s="5"/>
      <x:c r="E1" s="5"/>
      <x:c r="F1" s="5"/>
      <x:c r="G1" s="5"/>
      <x:c r="H1" s="5"/>
    </x:row>
    <x:row r="3">
      <x:c r="A3" s="57" t="str">
        <x:v>Metric</x:v>
      </x:c>
      <x:c r="B3" s="58" t="str">
        <x:v>Value</x:v>
      </x:c>
      <x:c r="C3" s="59" t="str">
        <x:v>Comparator or threshold</x:v>
      </x:c>
      <x:c r="E3" s="57" t="str">
        <x:v>Calculation</x:v>
      </x:c>
      <x:c r="F3" s="59" t="str">
        <x:v>Formula result</x:v>
      </x:c>
    </x:row>
    <x:row r="4">
      <x:c r="A4" s="72" t="str">
        <x:v>Vendor AUROC</x:v>
      </x:c>
      <x:c r="B4" s="73" t="n">
        <x:v>0.87</x:v>
      </x:c>
      <x:c r="C4" s="74" t="n">
        <x:v>0.8</x:v>
      </x:c>
      <x:c r="E4" s="72" t="str">
        <x:v>Local AUROC status</x:v>
      </x:c>
      <x:c r="F4" s="74" t="str">
        <x:f>IF(B5&gt;=C5,"PASS","REVIEW")</x:f>
        <x:v>REVIEW</x:v>
      </x:c>
    </x:row>
    <x:row r="5">
      <x:c r="A5" s="75" t="str">
        <x:v>Local AUROC</x:v>
      </x:c>
      <x:c r="B5" s="40" t="n">
        <x:v>0.79</x:v>
      </x:c>
      <x:c r="C5" s="76" t="n">
        <x:v>0.8</x:v>
      </x:c>
      <x:c r="E5" s="75" t="str">
        <x:v>Calibration status</x:v>
      </x:c>
      <x:c r="F5" s="76" t="str">
        <x:f>IF(B6&gt;=C6,"PASS","REVIEW")</x:f>
        <x:v>REVIEW</x:v>
      </x:c>
    </x:row>
    <x:row r="6">
      <x:c r="A6" s="75" t="str">
        <x:v>Local calibration slope</x:v>
      </x:c>
      <x:c r="B6" s="40" t="n">
        <x:v>0.76</x:v>
      </x:c>
      <x:c r="C6" s="76" t="n">
        <x:v>0.9</x:v>
      </x:c>
      <x:c r="E6" s="75" t="str">
        <x:v>Minority-language subgroup status</x:v>
      </x:c>
      <x:c r="F6" s="76" t="str">
        <x:f>IF(B8&gt;=C8,"PASS","REVIEW")</x:f>
        <x:v>REVIEW</x:v>
      </x:c>
    </x:row>
    <x:row r="7">
      <x:c r="A7" s="75" t="str">
        <x:v>Majority-language subgroup AUROC</x:v>
      </x:c>
      <x:c r="B7" s="40" t="n">
        <x:v>0.81</x:v>
      </x:c>
      <x:c r="C7" s="76" t="n">
        <x:v>0.8</x:v>
      </x:c>
      <x:c r="E7" s="75" t="str">
        <x:v>Difference-in-differences</x:v>
      </x:c>
      <x:c r="F7" s="76" t="n">
        <x:f>(B10-B9)-(B12-B11)</x:f>
        <x:v>-0.014999999999999986</x:v>
      </x:c>
    </x:row>
    <x:row r="8">
      <x:c r="A8" s="75" t="str">
        <x:v>Minority-language subgroup AUROC</x:v>
      </x:c>
      <x:c r="B8" s="40" t="n">
        <x:v>0.68</x:v>
      </x:c>
      <x:c r="C8" s="76" t="n">
        <x:v>0.8</x:v>
      </x:c>
      <x:c r="E8" s="77" t="str">
        <x:v>Decision</x:v>
      </x:c>
      <x:c r="F8" s="79" t="str">
        <x:f>IF(COUNTIF(F4:F6,"REVIEW")&gt;0,"Recalibrate or restrict; continue prospective evaluation","Proceed to staged use")</x:f>
        <x:v>Recalibrate or restrict; continue prospective evaluation</x:v>
      </x:c>
    </x:row>
    <x:row r="9">
      <x:c r="A9" s="75" t="str">
        <x:v>Intervention site pre readmission rate</x:v>
      </x:c>
      <x:c r="B9" s="40" t="n">
        <x:v>0.152</x:v>
      </x:c>
      <x:c r="C9" s="76" t="n">
        <x:v>0</x:v>
      </x:c>
    </x:row>
    <x:row r="10">
      <x:c r="A10" s="75" t="str">
        <x:v>Intervention site post readmission rate</x:v>
      </x:c>
      <x:c r="B10" s="40" t="n">
        <x:v>0.13</x:v>
      </x:c>
      <x:c r="C10" s="76" t="n">
        <x:v>0</x:v>
      </x:c>
    </x:row>
    <x:row r="11">
      <x:c r="A11" s="75" t="str">
        <x:v>Control site pre readmission rate</x:v>
      </x:c>
      <x:c r="B11" s="40" t="n">
        <x:v>0.148</x:v>
      </x:c>
      <x:c r="C11" s="76" t="n">
        <x:v>0</x:v>
      </x:c>
    </x:row>
    <x:row r="12">
      <x:c r="A12" s="77" t="str">
        <x:v>Control site post readmission rate</x:v>
      </x:c>
      <x:c r="B12" s="78" t="n">
        <x:v>0.141</x:v>
      </x:c>
      <x:c r="C12" s="79" t="n">
        <x:v>0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22" hidden="0" customWidth="1"/>
  </x:cols>
  <x:sheetData>
    <x:row r="1">
      <x:c r="A1" s="5" t="str">
        <x:v>Blank template - replace synthetic values with governed local evidence</x:v>
      </x:c>
      <x:c r="B1" s="5"/>
      <x:c r="C1" s="5"/>
    </x:row>
    <x:row r="3">
      <x:c r="A3" s="57" t="str">
        <x:v>Metric</x:v>
      </x:c>
      <x:c r="B3" s="58" t="str">
        <x:v>Value</x:v>
      </x:c>
      <x:c r="C3" s="59" t="str">
        <x:v>Comparator or threshold</x:v>
      </x:c>
    </x:row>
    <x:row r="4">
      <x:c r="A4" s="72" t="str">
        <x:v>Vendor AUROC</x:v>
      </x:c>
      <x:c r="B4" s="73" t="str"/>
      <x:c r="C4" s="74" t="n">
        <x:v>0.8</x:v>
      </x:c>
    </x:row>
    <x:row r="5">
      <x:c r="A5" s="75" t="str">
        <x:v>Local AUROC</x:v>
      </x:c>
      <x:c r="B5" s="40" t="str"/>
      <x:c r="C5" s="76" t="n">
        <x:v>0.8</x:v>
      </x:c>
    </x:row>
    <x:row r="6">
      <x:c r="A6" s="75" t="str">
        <x:v>Local calibration slope</x:v>
      </x:c>
      <x:c r="B6" s="40" t="str"/>
      <x:c r="C6" s="76" t="n">
        <x:v>0.9</x:v>
      </x:c>
    </x:row>
    <x:row r="7">
      <x:c r="A7" s="75" t="str">
        <x:v>Majority-language subgroup AUROC</x:v>
      </x:c>
      <x:c r="B7" s="40" t="str"/>
      <x:c r="C7" s="76" t="n">
        <x:v>0.8</x:v>
      </x:c>
    </x:row>
    <x:row r="8">
      <x:c r="A8" s="75" t="str">
        <x:v>Minority-language subgroup AUROC</x:v>
      </x:c>
      <x:c r="B8" s="40" t="str"/>
      <x:c r="C8" s="76" t="n">
        <x:v>0.8</x:v>
      </x:c>
    </x:row>
    <x:row r="9">
      <x:c r="A9" s="75" t="str">
        <x:v>Intervention site pre readmission rate</x:v>
      </x:c>
      <x:c r="B9" s="40" t="str"/>
      <x:c r="C9" s="76" t="n">
        <x:v>0</x:v>
      </x:c>
    </x:row>
    <x:row r="10">
      <x:c r="A10" s="75" t="str">
        <x:v>Intervention site post readmission rate</x:v>
      </x:c>
      <x:c r="B10" s="40" t="str"/>
      <x:c r="C10" s="76" t="n">
        <x:v>0</x:v>
      </x:c>
    </x:row>
    <x:row r="11">
      <x:c r="A11" s="75" t="str">
        <x:v>Control site pre readmission rate</x:v>
      </x:c>
      <x:c r="B11" s="40" t="str"/>
      <x:c r="C11" s="76" t="n">
        <x:v>0</x:v>
      </x:c>
    </x:row>
    <x:row r="12">
      <x:c r="A12" s="77" t="str">
        <x:v>Control site post readmission rate</x:v>
      </x:c>
      <x:c r="B12" s="78" t="str"/>
      <x:c r="C12" s="79" t="n">
        <x:v>0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" t="str">
        <x:v>Local Validation and Causal Evaluation of a Readmission Model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57" t="str">
        <x:v>Reference metric</x:v>
      </x:c>
      <x:c r="B4" s="59" t="str">
        <x:v>Synthetic result</x:v>
      </x:c>
    </x:row>
    <x:row r="5">
      <x:c r="A5" s="72" t="str">
        <x:v>Difference-in-differences</x:v>
      </x:c>
      <x:c r="B5" s="74" t="str">
        <x:v>-1.5 percentage points</x:v>
      </x:c>
    </x:row>
    <x:row r="6">
      <x:c r="A6" s="77" t="str">
        <x:v>Validation conclusion</x:v>
      </x:c>
      <x:c r="B6" s="79" t="str">
        <x:v>Recalibration and subgroup safeguards required</x:v>
      </x:c>
    </x:row>
    <x:row r="8">
      <x:c r="A8" s="89" t="str">
        <x:v>Worked interpretation</x:v>
      </x:c>
      <x:c r="B8" s="89"/>
      <x:c r="C8" s="89"/>
      <x:c r="D8" s="89"/>
      <x:c r="E8" s="89"/>
      <x:c r="F8" s="89"/>
    </x:row>
    <x:row r="9">
      <x:c r="A9" s="94" t="str">
        <x:v>Local performance does not reproduce the vendor result, calibration is inadequate, and the minority-language subgroup is below the acceptability threshold. The intervention site improves by 2.2 percentage points and the control site by 0.7 points, yielding a difference-in-differences estimate of -1.5 percentage points. This applies to the complete pathway, not the model alone. Recalibration, subgroup safeguards, and prospective evaluation are required before scale.</x:v>
      </x:c>
      <x:c r="B9" s="94"/>
      <x:c r="C9" s="94"/>
      <x:c r="D9" s="94"/>
      <x:c r="E9" s="94"/>
      <x:c r="F9" s="94"/>
    </x:row>
    <x:row r="10">
      <x:c r="A10" s="94"/>
      <x:c r="B10" s="94"/>
      <x:c r="C10" s="94"/>
      <x:c r="D10" s="94"/>
      <x:c r="E10" s="94"/>
      <x:c r="F10" s="94"/>
    </x:row>
    <x:row r="11">
      <x:c r="A11" s="94"/>
      <x:c r="B11" s="94"/>
      <x:c r="C11" s="94"/>
      <x:c r="D11" s="94"/>
      <x:c r="E11" s="94"/>
      <x:c r="F11" s="94"/>
    </x:row>
    <x:row r="12">
      <x:c r="A12" s="94"/>
      <x:c r="B12" s="94"/>
      <x:c r="C12" s="94"/>
      <x:c r="D12" s="94"/>
      <x:c r="E12" s="94"/>
      <x:c r="F12" s="94"/>
    </x:row>
    <x:row r="13">
      <x:c r="A13" s="94"/>
      <x:c r="B13" s="94"/>
      <x:c r="C13" s="94"/>
      <x:c r="D13" s="94"/>
      <x:c r="E13" s="94"/>
      <x:c r="F13" s="94"/>
    </x:row>
    <x:row r="15">
      <x:c r="A15" s="100" t="str">
        <x:v>Interpret calculations with evidence quality, uncertainty, mandatory safeguards, implementation capacity, monitoring, and exit conditions.</x:v>
      </x:c>
      <x:c r="B15" s="100"/>
      <x:c r="C15" s="100"/>
      <x:c r="D15" s="100"/>
      <x:c r="E15" s="100"/>
      <x:c r="F15" s="100"/>
    </x:row>
  </x:sheetData>
  <x:mergeCells>
    <x:mergeCell ref="A1:F2"/>
    <x:mergeCell ref="A8:F8"/>
    <x:mergeCell ref="A9:F13"/>
    <x:mergeCell ref="A15:F15"/>
  </x:mergeCells>
  <x:pageMargins left="0.7" right="0.7" top="0.75" bottom="0.75" header="0.3" footer="0.3"/>
</x:worksheet>
</file>