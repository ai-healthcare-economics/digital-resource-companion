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S1T1_Main_Blank" sheetId="2" state="visible" r:id="rId2"/>
    <sheet xmlns:r="http://schemas.openxmlformats.org/officeDocument/2006/relationships" name="S1T1_Main_Worked" sheetId="3" state="visible" r:id="rId3"/>
    <sheet xmlns:r="http://schemas.openxmlformats.org/officeDocument/2006/relationships" name="CEA_Calculator" sheetId="4" state="visible" r:id="rId4"/>
    <sheet xmlns:r="http://schemas.openxmlformats.org/officeDocument/2006/relationships" name="Budget_Impact" sheetId="5" state="visible" r:id="rId5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rlito"/>
      <sz val="11"/>
    </font>
    <font>
      <name val="Carlito"/>
      <b val="1"/>
      <color rgb="FFFFFFFF"/>
      <sz val="15"/>
    </font>
    <font>
      <name val="Carlito"/>
      <b val="1"/>
      <color rgb="FF17365D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F5F9FC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/>
    <border/>
  </borders>
  <cellStyleXfs count="1">
    <xf numFmtId="0" fontId="0" fillId="0" borderId="1"/>
  </cellStyleXfs>
  <cellXfs count="50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4" borderId="0" pivotButton="0" quotePrefix="0" xfId="0"/>
    <xf numFmtId="0" fontId="2" fillId="4" borderId="0" pivotButton="0" quotePrefix="0" xfId="0"/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2" fillId="4" borderId="1" pivotButton="0" quotePrefix="0" xfId="0"/>
    <xf numFmtId="0" fontId="2" fillId="4" borderId="1" applyAlignment="1" pivotButton="0" quotePrefix="0" xfId="0">
      <alignment wrapText="1"/>
    </xf>
    <xf numFmtId="0" fontId="2" fillId="4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vertical="center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5" borderId="0" pivotButton="0" quotePrefix="0" xfId="0"/>
    <xf numFmtId="0" fontId="0" fillId="5" borderId="0" applyAlignment="1" pivotButton="0" quotePrefix="0" xfId="0">
      <alignment wrapText="1"/>
    </xf>
    <xf numFmtId="0" fontId="0" fillId="5" borderId="1" pivotButton="0" quotePrefix="0" xfId="0"/>
    <xf numFmtId="0" fontId="0" fillId="5" borderId="1" applyAlignment="1" pivotButton="0" quotePrefix="0" xfId="0">
      <alignment wrapText="1"/>
    </xf>
    <xf numFmtId="4" fontId="0" fillId="5" borderId="0" applyAlignment="1" pivotButton="0" quotePrefix="0" xfId="0">
      <alignment vertical="top" wrapText="1"/>
    </xf>
    <xf numFmtId="4" fontId="0" fillId="5" borderId="1" applyAlignment="1" pivotButton="0" quotePrefix="0" xfId="0">
      <alignment vertical="top" wrapText="1"/>
    </xf>
    <xf numFmtId="164" fontId="0" fillId="5" borderId="0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4" fontId="0" fillId="0" borderId="0" pivotButton="0" quotePrefix="0" xfId="0"/>
    <xf numFmtId="4" fontId="0" fillId="0" borderId="1" pivotButton="0" quotePrefix="0" xfId="0"/>
    <xf numFmtId="3" fontId="0" fillId="5" borderId="0" applyAlignment="1" pivotButton="0" quotePrefix="0" xfId="0">
      <alignment vertical="top" wrapText="1"/>
    </xf>
    <xf numFmtId="3" fontId="0" fillId="0" borderId="0" pivotButton="0" quotePrefix="0" xfId="0"/>
    <xf numFmtId="0" fontId="0" fillId="0" borderId="0" pivotButton="0" quotePrefix="0" xfId="0"/>
    <xf numFmtId="4" fontId="0" fillId="5" borderId="0" applyAlignment="1" pivotButton="0" quotePrefix="0" xfId="0">
      <alignment vertical="top" wrapText="1"/>
    </xf>
    <xf numFmtId="164" fontId="0" fillId="5" borderId="0" applyAlignment="1" pivotButton="0" quotePrefix="0" xfId="0">
      <alignment vertical="top" wrapText="1"/>
    </xf>
    <xf numFmtId="4" fontId="0" fillId="0" borderId="0" pivotButton="0" quotePrefix="0" xfId="0"/>
    <xf numFmtId="3" fontId="0" fillId="5" borderId="0" applyAlignment="1" pivotButton="0" quotePrefix="0" xfId="0">
      <alignment vertical="top" wrapText="1"/>
    </xf>
    <xf numFmtId="3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Budget impact by year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Implementation cost</v>
          </tx>
          <spPr>
            <a:ln xmlns:a="http://schemas.openxmlformats.org/drawingml/2006/main">
              <a:prstDash val="solid"/>
            </a:ln>
          </spPr>
          <cat>
            <strRef>
              <f>'Budget_Impact'!$A$4:$A$8</f>
              <strCache>
                <ptCount val="0"/>
              </strCache>
            </strRef>
          </cat>
          <val>
            <numRef>
              <f>'Budget_Impact'!$B$4:$B$8</f>
              <numCache>
                <formatCode>#,##0</formatCode>
                <ptCount val="0"/>
              </numCache>
            </numRef>
          </val>
        </ser>
        <ser>
          <idx val="1"/>
          <order val="1"/>
          <tx>
            <v>Recurring cost</v>
          </tx>
          <spPr>
            <a:ln xmlns:a="http://schemas.openxmlformats.org/drawingml/2006/main">
              <a:prstDash val="solid"/>
            </a:ln>
          </spPr>
          <cat>
            <strRef>
              <f>'Budget_Impact'!$A$4:$A$8</f>
              <strCache>
                <ptCount val="0"/>
              </strCache>
            </strRef>
          </cat>
          <val>
            <numRef>
              <f>'Budget_Impact'!$C$4:$C$8</f>
              <numCache>
                <formatCode>#,##0</formatCode>
                <ptCount val="0"/>
              </numCache>
            </numRef>
          </val>
        </ser>
        <ser>
          <idx val="2"/>
          <order val="2"/>
          <tx>
            <v>Estimated savings</v>
          </tx>
          <spPr>
            <a:ln xmlns:a="http://schemas.openxmlformats.org/drawingml/2006/main">
              <a:prstDash val="solid"/>
            </a:ln>
          </spPr>
          <cat>
            <strRef>
              <f>'Budget_Impact'!$A$4:$A$8</f>
              <strCache>
                <ptCount val="0"/>
              </strCache>
            </strRef>
          </cat>
          <val>
            <numRef>
              <f>'Budget_Impact'!$D$4:$D$8</f>
              <numCache>
                <formatCode>#,##0</formatCode>
                <ptCount val="0"/>
              </numCache>
            </numRef>
          </val>
        </ser>
        <ser>
          <idx val="3"/>
          <order val="3"/>
          <tx>
            <v>Net budget impact</v>
          </tx>
          <spPr>
            <a:ln xmlns:a="http://schemas.openxmlformats.org/drawingml/2006/main">
              <a:prstDash val="solid"/>
            </a:ln>
          </spPr>
          <cat>
            <strRef>
              <f>'Budget_Impact'!$A$4:$A$8</f>
              <strCache>
                <ptCount val="0"/>
              </strCache>
            </strRef>
          </cat>
          <val>
            <numRef>
              <f>'Budget_Impact'!$E$4:$E$8</f>
              <numCache>
                <formatCode>#,##0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6</col>
      <colOff>0</colOff>
      <row>2</row>
      <rowOff>0</rowOff>
    </from>
    <to>
      <col>14</col>
      <colOff>0</colOff>
      <row>18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4" customWidth="1" style="44" min="1" max="1"/>
    <col width="70" customWidth="1" style="44" min="2" max="2"/>
  </cols>
  <sheetData>
    <row r="1">
      <c r="A1" s="9" t="inlineStr">
        <is>
          <t>Digital Resource AIHE-AA: Cost-Effectiveness and Budget-Impact Tool</t>
        </is>
      </c>
      <c r="B1" s="1" t="n"/>
      <c r="C1" s="1" t="n"/>
      <c r="D1" s="1" t="n"/>
      <c r="E1" s="1" t="n"/>
      <c r="F1" s="1" t="n"/>
    </row>
    <row r="2"/>
    <row r="3">
      <c r="A3" s="12" t="inlineStr">
        <is>
          <t>Resource ID</t>
        </is>
      </c>
      <c r="B3" s="17" t="inlineStr">
        <is>
          <t>AIHE-AA</t>
        </is>
      </c>
    </row>
    <row r="4">
      <c r="A4" s="12" t="inlineStr">
        <is>
          <t>Version</t>
        </is>
      </c>
      <c r="B4" s="17" t="inlineStr">
        <is>
          <t>V1.0</t>
        </is>
      </c>
    </row>
    <row r="5">
      <c r="A5" s="12" t="inlineStr">
        <is>
          <t>Last reviewed</t>
        </is>
      </c>
      <c r="B5" s="17" t="inlineStr">
        <is>
          <t>2026-07-26</t>
        </is>
      </c>
    </row>
    <row r="6">
      <c r="A6" s="12" t="inlineStr">
        <is>
          <t>Related chapters</t>
        </is>
      </c>
      <c r="B6" s="17" t="inlineStr">
        <is>
          <t>Chapters 11 and 20</t>
        </is>
      </c>
    </row>
    <row r="7">
      <c r="A7" s="12" t="inlineStr">
        <is>
          <t>Intended users</t>
        </is>
      </c>
      <c r="B7" s="17" t="inlineStr">
        <is>
          <t>Students, instructors, hospital managers, clinicians, health economists, informatics, governance, and project teams</t>
        </is>
      </c>
    </row>
    <row r="8">
      <c r="A8" s="12" t="inlineStr">
        <is>
          <t>Status</t>
        </is>
      </c>
      <c r="B8" s="17" t="inlineStr">
        <is>
          <t>Educational and practice-support instrument</t>
        </is>
      </c>
    </row>
    <row r="9">
      <c r="A9" s="12" t="inlineStr">
        <is>
          <t>Privacy</t>
        </is>
      </c>
      <c r="B9" s="17" t="inlineStr">
        <is>
          <t>Do not enter identifiable patient information, credentials, or confidential vendor data.</t>
        </is>
      </c>
    </row>
    <row r="10">
      <c r="A10" s="12" t="inlineStr">
        <is>
          <t>Instructions</t>
        </is>
      </c>
      <c r="B10" s="17" t="inlineStr">
        <is>
          <t>Complete yellow cells; preserve formulas; record evidence, assumptions, owners, dates, thresholds, and local adaptations.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8" customWidth="1" style="44" min="1" max="1"/>
    <col width="28" customWidth="1" style="44" min="2" max="2"/>
    <col width="28" customWidth="1" style="44" min="3" max="3"/>
    <col width="28" customWidth="1" style="44" min="4" max="4"/>
  </cols>
  <sheetData>
    <row r="1">
      <c r="A1" s="24" t="inlineStr">
        <is>
          <t>Item</t>
        </is>
      </c>
      <c r="B1" s="24" t="inlineStr">
        <is>
          <t>AI pathway</t>
        </is>
      </c>
      <c r="C1" s="24" t="inlineStr">
        <is>
          <t>Comparator</t>
        </is>
      </c>
      <c r="D1" s="24" t="inlineStr">
        <is>
          <t>Difference</t>
        </is>
      </c>
    </row>
    <row r="2">
      <c r="A2" s="17" t="inlineStr">
        <is>
          <t>Cost per patient</t>
        </is>
      </c>
      <c r="B2" s="30" t="str"/>
      <c r="C2" s="30" t="str"/>
      <c r="D2" s="30" t="str"/>
    </row>
    <row r="3">
      <c r="A3" s="17" t="inlineStr">
        <is>
          <t>Outcome per patient</t>
        </is>
      </c>
      <c r="B3" s="30" t="str"/>
      <c r="C3" s="30" t="str"/>
      <c r="D3" s="30" t="str"/>
    </row>
    <row r="4">
      <c r="A4" s="17" t="inlineStr">
        <is>
          <t>QALYs or effect measure</t>
        </is>
      </c>
      <c r="B4" s="30" t="str"/>
      <c r="C4" s="30" t="str"/>
      <c r="D4" s="30" t="str"/>
    </row>
    <row r="5">
      <c r="A5" s="17" t="inlineStr">
        <is>
          <t>Incremental cost</t>
        </is>
      </c>
      <c r="B5" s="30" t="str"/>
      <c r="C5" s="30" t="str"/>
      <c r="D5" s="30" t="str"/>
    </row>
    <row r="6">
      <c r="A6" s="17" t="inlineStr">
        <is>
          <t>Incremental effect</t>
        </is>
      </c>
      <c r="B6" s="30" t="str"/>
      <c r="C6" s="30" t="str"/>
      <c r="D6" s="30" t="str"/>
    </row>
    <row r="7">
      <c r="A7" s="17" t="inlineStr">
        <is>
          <t>ICER or net benefit</t>
        </is>
      </c>
      <c r="B7" s="30" t="str"/>
      <c r="C7" s="30" t="str"/>
      <c r="D7" s="30" t="str"/>
    </row>
    <row r="8">
      <c r="A8" s="17" t="inlineStr">
        <is>
          <t>Eligible population</t>
        </is>
      </c>
      <c r="B8" s="30" t="str"/>
      <c r="C8" s="30" t="str"/>
      <c r="D8" s="30" t="str"/>
    </row>
    <row r="9">
      <c r="A9" s="17" t="inlineStr">
        <is>
          <t>Adoption rate</t>
        </is>
      </c>
      <c r="B9" s="30" t="str"/>
      <c r="C9" s="30" t="str"/>
      <c r="D9" s="30" t="str"/>
    </row>
    <row r="10">
      <c r="A10" s="17" t="inlineStr">
        <is>
          <t>Annual budget impact</t>
        </is>
      </c>
      <c r="B10" s="30" t="str"/>
      <c r="C10" s="30" t="str"/>
      <c r="D10" s="30" t="str"/>
    </row>
    <row r="11">
      <c r="A11" s="17" t="inlineStr">
        <is>
          <t>Sensitivity/scenario result</t>
        </is>
      </c>
      <c r="B11" s="30" t="str"/>
      <c r="C11" s="30" t="str"/>
      <c r="D11" s="30" t="str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8" customWidth="1" style="44" min="1" max="1"/>
    <col width="30" customWidth="1" style="44" min="2" max="2"/>
    <col width="30" customWidth="1" style="44" min="3" max="3"/>
    <col width="30" customWidth="1" style="44" min="4" max="4"/>
  </cols>
  <sheetData>
    <row r="1">
      <c r="A1" s="24" t="inlineStr">
        <is>
          <t>Item</t>
        </is>
      </c>
      <c r="B1" s="24" t="inlineStr">
        <is>
          <t>AI pathway</t>
        </is>
      </c>
      <c r="C1" s="24" t="inlineStr">
        <is>
          <t>Comparator</t>
        </is>
      </c>
      <c r="D1" s="24" t="inlineStr">
        <is>
          <t>Difference</t>
        </is>
      </c>
    </row>
    <row r="2">
      <c r="A2" s="17" t="inlineStr">
        <is>
          <t>Cost per patient</t>
        </is>
      </c>
      <c r="B2" s="17" t="inlineStr">
        <is>
          <t>1450</t>
        </is>
      </c>
      <c r="C2" s="17" t="inlineStr">
        <is>
          <t>1200</t>
        </is>
      </c>
      <c r="D2" s="17" t="inlineStr">
        <is>
          <t>250</t>
        </is>
      </c>
    </row>
    <row r="3">
      <c r="A3" s="17" t="inlineStr">
        <is>
          <t>Outcome per patient</t>
        </is>
      </c>
      <c r="B3" s="17" t="inlineStr">
        <is>
          <t>0.770</t>
        </is>
      </c>
      <c r="C3" s="17" t="inlineStr">
        <is>
          <t>0.740</t>
        </is>
      </c>
      <c r="D3" s="17" t="inlineStr">
        <is>
          <t>0.030</t>
        </is>
      </c>
    </row>
    <row r="4">
      <c r="A4" s="17" t="inlineStr">
        <is>
          <t>QALYs or effect measure</t>
        </is>
      </c>
      <c r="B4" s="17" t="inlineStr">
        <is>
          <t>0.770 QALYs</t>
        </is>
      </c>
      <c r="C4" s="17" t="inlineStr">
        <is>
          <t>0.740 QALYs</t>
        </is>
      </c>
      <c r="D4" s="17" t="inlineStr">
        <is>
          <t>0.030 QALYs</t>
        </is>
      </c>
    </row>
    <row r="5">
      <c r="A5" s="17" t="inlineStr">
        <is>
          <t>Incremental cost</t>
        </is>
      </c>
      <c r="B5" s="17" t="inlineStr">
        <is>
          <t>250</t>
        </is>
      </c>
      <c r="C5" s="17" t="inlineStr">
        <is>
          <t>0</t>
        </is>
      </c>
      <c r="D5" s="17" t="inlineStr">
        <is>
          <t>250</t>
        </is>
      </c>
    </row>
    <row r="6">
      <c r="A6" s="17" t="inlineStr">
        <is>
          <t>Incremental effect</t>
        </is>
      </c>
      <c r="B6" s="17" t="inlineStr">
        <is>
          <t>0.030</t>
        </is>
      </c>
      <c r="C6" s="17" t="inlineStr">
        <is>
          <t>0</t>
        </is>
      </c>
      <c r="D6" s="17" t="inlineStr">
        <is>
          <t>0.030</t>
        </is>
      </c>
    </row>
    <row r="7">
      <c r="A7" s="17" t="inlineStr">
        <is>
          <t>ICER or net benefit</t>
        </is>
      </c>
      <c r="B7" s="17" t="inlineStr">
        <is>
          <t>EUR 8,333/QALY</t>
        </is>
      </c>
      <c r="C7" s="17" t="inlineStr">
        <is>
          <t>Comparator</t>
        </is>
      </c>
      <c r="D7" s="17" t="inlineStr">
        <is>
          <t>EUR 8,333/QALY</t>
        </is>
      </c>
    </row>
    <row r="8">
      <c r="A8" s="17" t="inlineStr">
        <is>
          <t>Eligible population</t>
        </is>
      </c>
      <c r="B8" s="17" t="inlineStr">
        <is>
          <t>1000</t>
        </is>
      </c>
      <c r="C8" s="17" t="inlineStr">
        <is>
          <t>1000</t>
        </is>
      </c>
      <c r="D8" s="17" t="inlineStr">
        <is>
          <t>0</t>
        </is>
      </c>
    </row>
    <row r="9">
      <c r="A9" s="17" t="inlineStr">
        <is>
          <t>Adoption rate</t>
        </is>
      </c>
      <c r="B9" s="17" t="inlineStr">
        <is>
          <t>60%</t>
        </is>
      </c>
      <c r="C9" s="17" t="inlineStr">
        <is>
          <t>0%</t>
        </is>
      </c>
      <c r="D9" s="17" t="inlineStr">
        <is>
          <t>60 percentage points</t>
        </is>
      </c>
    </row>
    <row r="10">
      <c r="A10" s="17" t="inlineStr">
        <is>
          <t>Annual budget impact</t>
        </is>
      </c>
      <c r="B10" s="17" t="inlineStr">
        <is>
          <t>EUR 190,000 in Year 1</t>
        </is>
      </c>
      <c r="C10" s="17" t="inlineStr">
        <is>
          <t>EUR 0</t>
        </is>
      </c>
      <c r="D10" s="17" t="inlineStr">
        <is>
          <t>EUR 190,000</t>
        </is>
      </c>
    </row>
    <row r="11">
      <c r="A11" s="17" t="inlineStr">
        <is>
          <t>Sensitivity/scenario result</t>
        </is>
      </c>
      <c r="B11" s="17" t="inlineStr">
        <is>
          <t>ICER rises to EUR 16,667/QALY if effect falls to 0.015 QALY.</t>
        </is>
      </c>
      <c r="C11" s="17" t="inlineStr">
        <is>
          <t>Usual care.</t>
        </is>
      </c>
      <c r="D11" s="17" t="inlineStr">
        <is>
          <t>Decision remains favorable below EUR 20,000/QALY in base case.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2" customWidth="1" style="44" min="1" max="1"/>
    <col width="24" customWidth="1" style="44" min="2" max="2"/>
  </cols>
  <sheetData>
    <row r="1">
      <c r="A1" s="9" t="inlineStr">
        <is>
          <t>Cost-Effectiveness Calculator</t>
        </is>
      </c>
      <c r="B1" s="1" t="n"/>
      <c r="C1" s="1" t="n"/>
      <c r="D1" s="1" t="n"/>
    </row>
    <row r="2"/>
    <row r="3">
      <c r="A3" s="24" t="inlineStr">
        <is>
          <t>Input</t>
        </is>
      </c>
      <c r="B3" s="24" t="inlineStr">
        <is>
          <t>Value</t>
        </is>
      </c>
    </row>
    <row r="4">
      <c r="A4" t="inlineStr">
        <is>
          <t>AI cost</t>
        </is>
      </c>
      <c r="B4" s="45" t="n">
        <v>1450</v>
      </c>
    </row>
    <row r="5">
      <c r="A5" t="inlineStr">
        <is>
          <t>Comparator cost</t>
        </is>
      </c>
      <c r="B5" s="45" t="n">
        <v>1200</v>
      </c>
    </row>
    <row r="6">
      <c r="A6" t="inlineStr">
        <is>
          <t>AI effect</t>
        </is>
      </c>
      <c r="B6" s="46" t="n">
        <v>0.77</v>
      </c>
    </row>
    <row r="7">
      <c r="A7" t="inlineStr">
        <is>
          <t>Comparator effect</t>
        </is>
      </c>
      <c r="B7" s="46" t="n">
        <v>0.74</v>
      </c>
    </row>
    <row r="8">
      <c r="A8" t="inlineStr">
        <is>
          <t>Incremental cost</t>
        </is>
      </c>
      <c r="B8" s="47">
        <f>B4-B5</f>
        <v/>
      </c>
    </row>
    <row r="9">
      <c r="A9" t="inlineStr">
        <is>
          <t>Incremental effect</t>
        </is>
      </c>
      <c r="B9" s="47">
        <f>B6-B7</f>
        <v/>
      </c>
    </row>
    <row r="10">
      <c r="A10" t="inlineStr">
        <is>
          <t>ICER</t>
        </is>
      </c>
      <c r="B10" s="47">
        <f>IF(B9=0,"",B8/B9)</f>
        <v/>
      </c>
    </row>
    <row r="11">
      <c r="A11" t="inlineStr">
        <is>
          <t>WTP threshold</t>
        </is>
      </c>
      <c r="B11" t="n">
        <v>20000</v>
      </c>
    </row>
    <row r="12">
      <c r="A12" t="inlineStr">
        <is>
          <t>Net monetary benefit</t>
        </is>
      </c>
      <c r="B12" s="45">
        <f>B11*B9-B8</f>
        <v/>
      </c>
    </row>
    <row r="13">
      <c r="A13" t="inlineStr">
        <is>
          <t>Decision</t>
        </is>
      </c>
      <c r="B13" s="47">
        <f>IF(B12&gt;=0,"Cost-effective at threshold","Not cost-effective at threshold")</f>
        <v/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" customWidth="1" style="44" min="1" max="1"/>
    <col width="20" customWidth="1" style="44" min="2" max="2"/>
    <col width="18" customWidth="1" style="44" min="3" max="3"/>
    <col width="18" customWidth="1" style="44" min="4" max="4"/>
    <col width="20" customWidth="1" style="44" min="5" max="5"/>
  </cols>
  <sheetData>
    <row r="1">
      <c r="A1" s="9" t="inlineStr">
        <is>
          <t>Five-Year Budget Impact</t>
        </is>
      </c>
      <c r="B1" s="1" t="n"/>
      <c r="C1" s="1" t="n"/>
      <c r="D1" s="1" t="n"/>
      <c r="E1" s="1" t="n"/>
    </row>
    <row r="2"/>
    <row r="3">
      <c r="A3" s="24" t="inlineStr">
        <is>
          <t>Year</t>
        </is>
      </c>
      <c r="B3" s="24" t="inlineStr">
        <is>
          <t>Implementation cost</t>
        </is>
      </c>
      <c r="C3" s="24" t="inlineStr">
        <is>
          <t>Recurring cost</t>
        </is>
      </c>
      <c r="D3" s="24" t="inlineStr">
        <is>
          <t>Estimated savings</t>
        </is>
      </c>
      <c r="E3" s="24" t="inlineStr">
        <is>
          <t>Net budget impact</t>
        </is>
      </c>
    </row>
    <row r="4">
      <c r="A4" t="n">
        <v>1</v>
      </c>
      <c r="B4" s="48" t="n">
        <v>150000</v>
      </c>
      <c r="C4" s="48" t="n">
        <v>80000</v>
      </c>
      <c r="D4" s="48" t="n">
        <v>40000</v>
      </c>
      <c r="E4" s="49">
        <f>B4+C4-D4</f>
        <v/>
      </c>
    </row>
    <row r="5">
      <c r="A5" t="n">
        <v>2</v>
      </c>
      <c r="B5" s="48" t="n">
        <v>0</v>
      </c>
      <c r="C5" s="48" t="n">
        <v>90000</v>
      </c>
      <c r="D5" s="48" t="n">
        <v>90000</v>
      </c>
      <c r="E5" s="49">
        <f>B5+C5-D5</f>
        <v/>
      </c>
    </row>
    <row r="6">
      <c r="A6" t="n">
        <v>3</v>
      </c>
      <c r="B6" s="48" t="n">
        <v>0</v>
      </c>
      <c r="C6" s="48" t="n">
        <v>95000</v>
      </c>
      <c r="D6" s="48" t="n">
        <v>130000</v>
      </c>
      <c r="E6" s="49">
        <f>B6+C6-D6</f>
        <v/>
      </c>
    </row>
    <row r="7">
      <c r="A7" t="n">
        <v>4</v>
      </c>
      <c r="B7" s="48" t="n">
        <v>0</v>
      </c>
      <c r="C7" s="48" t="n">
        <v>100000</v>
      </c>
      <c r="D7" s="48" t="n">
        <v>150000</v>
      </c>
      <c r="E7" s="49">
        <f>B7+C7-D7</f>
        <v/>
      </c>
    </row>
    <row r="8">
      <c r="A8" t="n">
        <v>5</v>
      </c>
      <c r="B8" s="48" t="n">
        <v>0</v>
      </c>
      <c r="C8" s="48" t="n">
        <v>105000</v>
      </c>
      <c r="D8" s="48" t="n">
        <v>165000</v>
      </c>
      <c r="E8" s="49">
        <f>B8+C8-D8</f>
        <v/>
      </c>
    </row>
  </sheetData>
  <mergeCells count="1">
    <mergeCell ref="A1:E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AIHE-AA workbook</dc:title>
  <dc:creator/>
  <ns0:lastModifiedBy/>
  <ns2:created xsi:type="dcterms:W3CDTF">2026-08-06T00:00:00Z</ns2:created>
  <ns2:modified xsi:type="dcterms:W3CDTF">2026-08-06T00:00:00Z</ns2:modified>
</ns0:coreProperties>
</file>