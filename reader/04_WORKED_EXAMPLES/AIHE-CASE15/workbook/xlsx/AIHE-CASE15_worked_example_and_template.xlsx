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a664d316284910" /></Relationships>
</file>

<file path=xl/workbook.xml><?xml version="1.0" encoding="utf-8"?>
<x:workbook xmlns:x="http://schemas.openxmlformats.org/spreadsheetml/2006/main">
  <x:sheets>
    <x:sheet xmlns:r="http://schemas.openxmlformats.org/officeDocument/2006/relationships" name="Guide" sheetId="1" r:id="Re2a1fcf0218f4b7f"/>
    <x:sheet xmlns:r="http://schemas.openxmlformats.org/officeDocument/2006/relationships" name="Worked Inputs" sheetId="2" r:id="Redd1249b55c14fb6"/>
    <x:sheet xmlns:r="http://schemas.openxmlformats.org/officeDocument/2006/relationships" name="Blank Template" sheetId="3" r:id="R73c4296eb2884670"/>
    <x:sheet xmlns:r="http://schemas.openxmlformats.org/officeDocument/2006/relationships" name="Decision Summary" sheetId="4" r:id="Rd15eda5220cc4df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6">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er" wrapText="1"/>
    </x:xf>
    <x:xf numFmtId="0" fontId="2" fillId="3" borderId="15" xfId="0" applyNumberFormat="1" applyFont="1" applyFill="1" applyBorder="1" applyAlignment="1">
      <x:alignment horizontal="center" wrapText="1"/>
    </x:xf>
    <x:xf numFmtId="0" fontId="2" fillId="3" borderId="16" xfId="0" applyNumberFormat="1" applyFont="1" applyFill="1" applyBorder="1" applyAlignment="1">
      <x:alignment horizontal="center" wrapText="1"/>
    </x:xf>
    <x:xf numFmtId="0" fontId="2" fillId="3" borderId="14" xfId="0" applyNumberFormat="1" applyFont="1" applyFill="1" applyBorder="1" applyAlignment="1">
      <x:alignment horizontal="center" vertical="center" wrapText="1"/>
    </x:xf>
    <x:xf numFmtId="0" fontId="2" fillId="3" borderId="15" xfId="0" applyNumberFormat="1" applyFont="1" applyFill="1" applyBorder="1" applyAlignment="1">
      <x:alignment horizontal="center" vertical="center" wrapText="1"/>
    </x:xf>
    <x:xf numFmtId="0" fontId="2" fillId="3" borderId="16" xfId="0" applyNumberFormat="1" applyFont="1" applyFill="1" applyBorder="1" applyAlignment="1">
      <x:alignment horizontal="center" vertical="center"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er" wrapText="1"/>
    </x:xf>
    <x:xf numFmtId="0" fontId="2" fillId="3" borderId="18" xfId="0" applyNumberFormat="1" applyFont="1" applyFill="1" applyBorder="1" applyAlignment="1">
      <x:alignment horizontal="center" wrapText="1"/>
    </x:xf>
    <x:xf numFmtId="0" fontId="2" fillId="3" borderId="19" xfId="0" applyNumberFormat="1" applyFont="1" applyFill="1" applyBorder="1" applyAlignment="1">
      <x:alignment horizontal="center" wrapText="1"/>
    </x:xf>
    <x:xf numFmtId="0" fontId="2" fillId="3" borderId="17" xfId="0" applyNumberFormat="1" applyFont="1" applyFill="1" applyBorder="1" applyAlignment="1">
      <x:alignment horizontal="center" vertical="center" wrapText="1"/>
    </x:xf>
    <x:xf numFmtId="0" fontId="2" fillId="3" borderId="18" xfId="0" applyNumberFormat="1" applyFont="1" applyFill="1" applyBorder="1" applyAlignment="1">
      <x:alignment horizontal="center" vertical="center" wrapText="1"/>
    </x:xf>
    <x:xf numFmtId="0" fontId="2" fillId="3" borderId="19" xfId="0" applyNumberFormat="1" applyFont="1" applyFill="1" applyBorder="1" applyAlignment="1">
      <x:alignment horizontal="center" vertical="center"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5445f37b554006" /><Relationship Type="http://schemas.openxmlformats.org/officeDocument/2006/relationships/theme" Target="/xl/theme/theme1.xml" Id="Rde91ba9351864b16" /><Relationship Type="http://schemas.openxmlformats.org/officeDocument/2006/relationships/sharedStrings" Target="/xl/sharedStrings.xml" Id="R6f4587f42ff443c6" /><Relationship Type="http://schemas.openxmlformats.org/officeDocument/2006/relationships/worksheet" Target="/xl/worksheets/sheet1.xml" Id="Re2a1fcf0218f4b7f" /><Relationship Type="http://schemas.openxmlformats.org/officeDocument/2006/relationships/worksheet" Target="/xl/worksheets/sheet2.xml" Id="Redd1249b55c14fb6" /><Relationship Type="http://schemas.openxmlformats.org/officeDocument/2006/relationships/worksheet" Target="/xl/worksheets/sheet3.xml" Id="R73c4296eb2884670" /><Relationship Type="http://schemas.openxmlformats.org/officeDocument/2006/relationships/worksheet" Target="/xl/worksheets/sheet4.xml" Id="Rd15eda5220cc4df2"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Edge, Cloud, or Shared Diagnostic AI: Circularity-Adjusted Evaluation</x:v>
      </x:c>
      <x:c r="B1" s="5"/>
      <x:c r="C1" s="5"/>
      <x:c r="D1" s="5"/>
      <x:c r="E1" s="5"/>
      <x:c r="F1" s="5"/>
    </x:row>
    <x:row r="2">
      <x:c r="A2" s="5"/>
      <x:c r="B2" s="5"/>
      <x:c r="C2" s="5"/>
      <x:c r="D2" s="5"/>
      <x:c r="E2" s="5"/>
      <x:c r="F2" s="5"/>
    </x:row>
    <x:row r="4">
      <x:c r="A4" s="21" t="str">
        <x:v>Example ID</x:v>
      </x:c>
      <x:c r="B4" s="42" t="str">
        <x:v>AIHE-CASE15</x:v>
      </x:c>
    </x:row>
    <x:row r="5">
      <x:c r="A5" s="22" t="str">
        <x:v>Chapter</x:v>
      </x:c>
      <x:c r="B5" s="43" t="str">
        <x:v>15: Circularity-Adjusted Evaluation and Sustainable Value</x:v>
      </x:c>
    </x:row>
    <x:row r="6">
      <x:c r="A6" s="22" t="str">
        <x:v>Decision question</x:v>
      </x:c>
      <x:c r="B6" s="43" t="str">
        <x:v>How does the preferred option change when conventional economic value is considered with environmental effects, residual value, resilience, equity, and rebound?</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AIHE-E04, AIHE-E05, AIHE-CE6, AIHE-CE7, AIHE-B01, AIHE-B05</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5" hidden="0" customWidth="1"/>
    <x:col min="12" max="12" width="22" hidden="0" customWidth="1"/>
    <x:col min="13" max="13" width="22" hidden="0" customWidth="1"/>
    <x:col min="15" max="15" width="34" hidden="0" customWidth="1"/>
    <x:col min="16" max="16" width="18" hidden="0" customWidth="1"/>
  </x:cols>
  <x:sheetData>
    <x:row r="1">
      <x:c r="A1" s="5" t="str">
        <x:v>Worked synthetic inputs and calculations</x:v>
      </x:c>
      <x:c r="B1" s="5"/>
      <x:c r="C1" s="5"/>
      <x:c r="D1" s="5"/>
      <x:c r="E1" s="5"/>
      <x:c r="F1" s="5"/>
      <x:c r="G1" s="5"/>
      <x:c r="H1" s="5"/>
      <x:c r="I1" s="5"/>
      <x:c r="J1" s="5"/>
      <x:c r="K1" s="5"/>
      <x:c r="L1" s="5"/>
      <x:c r="M1" s="5"/>
      <x:c r="N1" s="5"/>
      <x:c r="O1" s="5"/>
    </x:row>
    <x:row r="2">
      <x:c r="O2" s="57" t="str">
        <x:v>Optional valuation assumption</x:v>
      </x:c>
      <x:c r="P2" s="59" t="str">
        <x:v>Value</x:v>
      </x:c>
    </x:row>
    <x:row r="3">
      <x:c r="A3" s="57" t="str">
        <x:v>Option</x:v>
      </x:c>
      <x:c r="B3" s="58" t="str">
        <x:v>Upfront cost</x:v>
      </x:c>
      <x:c r="C3" s="58" t="str">
        <x:v>Annual cost</x:v>
      </x:c>
      <x:c r="D3" s="58" t="str">
        <x:v>Annual benefit</x:v>
      </x:c>
      <x:c r="E3" s="58" t="str">
        <x:v>Energy MWh/year</x:v>
      </x:c>
      <x:c r="F3" s="58" t="str">
        <x:v>Water m3/year</x:v>
      </x:c>
      <x:c r="G3" s="58" t="str">
        <x:v>Carbon tCO2e/year</x:v>
      </x:c>
      <x:c r="H3" s="58" t="str">
        <x:v>Residual value</x:v>
      </x:c>
      <x:c r="I3" s="58" t="str">
        <x:v>Resilience value/year</x:v>
      </x:c>
      <x:c r="J3" s="59" t="str">
        <x:v>Latency seconds</x:v>
      </x:c>
      <x:c r="K3" s="57" t="str">
        <x:v>Conventional five-year net value</x:v>
      </x:c>
      <x:c r="L3" s="58" t="str">
        <x:v>Illustrative adjustment</x:v>
      </x:c>
      <x:c r="M3" s="59" t="str">
        <x:v>Adjusted value</x:v>
      </x:c>
      <x:c r="O3" s="72" t="str">
        <x:v>Carbon price per tCO2e</x:v>
      </x:c>
      <x:c r="P3" s="74" t="n">
        <x:v>100</x:v>
      </x:c>
    </x:row>
    <x:row r="4">
      <x:c r="A4" s="72" t="str">
        <x:v>Edge deployment</x:v>
      </x:c>
      <x:c r="B4" s="73" t="n">
        <x:v>1200000</x:v>
      </x:c>
      <x:c r="C4" s="73" t="n">
        <x:v>220000</x:v>
      </x:c>
      <x:c r="D4" s="73" t="n">
        <x:v>700000</x:v>
      </x:c>
      <x:c r="E4" s="73" t="n">
        <x:v>120</x:v>
      </x:c>
      <x:c r="F4" s="73" t="n">
        <x:v>50</x:v>
      </x:c>
      <x:c r="G4" s="73" t="n">
        <x:v>40</x:v>
      </x:c>
      <x:c r="H4" s="73" t="n">
        <x:v>250000</x:v>
      </x:c>
      <x:c r="I4" s="73" t="n">
        <x:v>80000</x:v>
      </x:c>
      <x:c r="J4" s="74" t="n">
        <x:v>0.5</x:v>
      </x:c>
      <x:c r="K4" s="72" t="n">
        <x:f>5*D4-(B4+5*C4)+H4</x:f>
        <x:v>1450000</x:v>
      </x:c>
      <x:c r="L4" s="73" t="n">
        <x:f>5*I4-5*G4*$P$3-5*F4*$P$4</x:f>
        <x:v>379500</x:v>
      </x:c>
      <x:c r="M4" s="74" t="n">
        <x:f>K4+L4</x:f>
        <x:v>1829500</x:v>
      </x:c>
      <x:c r="O4" s="77" t="str">
        <x:v>Water price per m3</x:v>
      </x:c>
      <x:c r="P4" s="79" t="n">
        <x:v>2</x:v>
      </x:c>
    </x:row>
    <x:row r="5">
      <x:c r="A5" s="75" t="str">
        <x:v>Commercial cloud</x:v>
      </x:c>
      <x:c r="B5" s="40" t="n">
        <x:v>250000</x:v>
      </x:c>
      <x:c r="C5" s="40" t="n">
        <x:v>500000</x:v>
      </x:c>
      <x:c r="D5" s="40" t="n">
        <x:v>700000</x:v>
      </x:c>
      <x:c r="E5" s="40" t="n">
        <x:v>90</x:v>
      </x:c>
      <x:c r="F5" s="40" t="n">
        <x:v>800</x:v>
      </x:c>
      <x:c r="G5" s="40" t="n">
        <x:v>55</x:v>
      </x:c>
      <x:c r="H5" s="40" t="n">
        <x:v>0</x:v>
      </x:c>
      <x:c r="I5" s="40" t="n">
        <x:v>100000</x:v>
      </x:c>
      <x:c r="J5" s="76" t="n">
        <x:v>1.2</x:v>
      </x:c>
      <x:c r="K5" s="75" t="n">
        <x:f>5*D5-(B5+5*C5)+H5</x:f>
        <x:v>750000</x:v>
      </x:c>
      <x:c r="L5" s="40" t="n">
        <x:f>5*I5-5*G5*$P$3-5*F5*$P$4</x:f>
        <x:v>464500</x:v>
      </x:c>
      <x:c r="M5" s="76" t="n">
        <x:f>K5+L5</x:f>
        <x:v>1214500</x:v>
      </x:c>
    </x:row>
    <x:row r="6">
      <x:c r="A6" s="77" t="str">
        <x:v>Shared regional platform</x:v>
      </x:c>
      <x:c r="B6" s="78" t="n">
        <x:v>600000</x:v>
      </x:c>
      <x:c r="C6" s="78" t="n">
        <x:v>320000</x:v>
      </x:c>
      <x:c r="D6" s="78" t="n">
        <x:v>700000</x:v>
      </x:c>
      <x:c r="E6" s="78" t="n">
        <x:v>70</x:v>
      </x:c>
      <x:c r="F6" s="78" t="n">
        <x:v>300</x:v>
      </x:c>
      <x:c r="G6" s="78" t="n">
        <x:v>35</x:v>
      </x:c>
      <x:c r="H6" s="78" t="n">
        <x:v>100000</x:v>
      </x:c>
      <x:c r="I6" s="78" t="n">
        <x:v>120000</x:v>
      </x:c>
      <x:c r="J6" s="79" t="n">
        <x:v>0.9</x:v>
      </x:c>
      <x:c r="K6" s="77" t="n">
        <x:f>5*D6-(B6+5*C6)+H6</x:f>
        <x:v>1400000</x:v>
      </x:c>
      <x:c r="L6" s="78" t="n">
        <x:f>5*I6-5*G6*$P$3-5*F6*$P$4</x:f>
        <x:v>579500</x:v>
      </x:c>
      <x:c r="M6" s="79" t="n">
        <x:f>K6+L6</x:f>
        <x:v>1979500</x:v>
      </x:c>
    </x:row>
  </x:sheetData>
  <x:mergeCells>
    <x:mergeCell ref="A1:O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s>
  <x:sheetData>
    <x:row r="1">
      <x:c r="A1" s="5" t="str">
        <x:v>Blank template - replace synthetic values with governed local evidence</x:v>
      </x:c>
      <x:c r="B1" s="5"/>
      <x:c r="C1" s="5"/>
      <x:c r="D1" s="5"/>
      <x:c r="E1" s="5"/>
      <x:c r="F1" s="5"/>
      <x:c r="G1" s="5"/>
      <x:c r="H1" s="5"/>
      <x:c r="I1" s="5"/>
      <x:c r="J1" s="5"/>
    </x:row>
    <x:row r="3">
      <x:c r="A3" s="57" t="str">
        <x:v>Option</x:v>
      </x:c>
      <x:c r="B3" s="58" t="str">
        <x:v>Upfront cost</x:v>
      </x:c>
      <x:c r="C3" s="58" t="str">
        <x:v>Annual cost</x:v>
      </x:c>
      <x:c r="D3" s="58" t="str">
        <x:v>Annual benefit</x:v>
      </x:c>
      <x:c r="E3" s="58" t="str">
        <x:v>Energy MWh/year</x:v>
      </x:c>
      <x:c r="F3" s="58" t="str">
        <x:v>Water m3/year</x:v>
      </x:c>
      <x:c r="G3" s="58" t="str">
        <x:v>Carbon tCO2e/year</x:v>
      </x:c>
      <x:c r="H3" s="58" t="str">
        <x:v>Residual value</x:v>
      </x:c>
      <x:c r="I3" s="58" t="str">
        <x:v>Resilience value/year</x:v>
      </x:c>
      <x:c r="J3" s="59" t="str">
        <x:v>Latency seconds</x:v>
      </x:c>
    </x:row>
    <x:row r="4">
      <x:c r="A4" s="72" t="str">
        <x:v>Edge deployment</x:v>
      </x:c>
      <x:c r="B4" s="73" t="str"/>
      <x:c r="C4" s="73" t="str"/>
      <x:c r="D4" s="73" t="str"/>
      <x:c r="E4" s="73" t="str"/>
      <x:c r="F4" s="73" t="str"/>
      <x:c r="G4" s="73" t="str"/>
      <x:c r="H4" s="73" t="str"/>
      <x:c r="I4" s="73" t="str"/>
      <x:c r="J4" s="74" t="str"/>
    </x:row>
    <x:row r="5">
      <x:c r="A5" s="75" t="str">
        <x:v>Commercial cloud</x:v>
      </x:c>
      <x:c r="B5" s="40" t="str"/>
      <x:c r="C5" s="40" t="str"/>
      <x:c r="D5" s="40" t="str"/>
      <x:c r="E5" s="40" t="str"/>
      <x:c r="F5" s="40" t="str"/>
      <x:c r="G5" s="40" t="str"/>
      <x:c r="H5" s="40" t="str"/>
      <x:c r="I5" s="40" t="str"/>
      <x:c r="J5" s="76" t="str"/>
    </x:row>
    <x:row r="6">
      <x:c r="A6" s="77" t="str">
        <x:v>Shared regional platform</x:v>
      </x:c>
      <x:c r="B6" s="78" t="str"/>
      <x:c r="C6" s="78" t="str"/>
      <x:c r="D6" s="78" t="str"/>
      <x:c r="E6" s="78" t="str"/>
      <x:c r="F6" s="78" t="str"/>
      <x:c r="G6" s="78" t="str"/>
      <x:c r="H6" s="78" t="str"/>
      <x:c r="I6" s="78" t="str"/>
      <x:c r="J6" s="79" t="str"/>
    </x:row>
  </x:sheetData>
  <x:mergeCells>
    <x:mergeCell ref="A1:J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Edge, Cloud, or Shared Diagnostic AI: Circularity-Adjusted Evaluation</x:v>
      </x:c>
      <x:c r="B1" s="5"/>
      <x:c r="C1" s="5"/>
      <x:c r="D1" s="5"/>
      <x:c r="E1" s="5"/>
      <x:c r="F1" s="5"/>
    </x:row>
    <x:row r="2">
      <x:c r="A2" s="5"/>
      <x:c r="B2" s="5"/>
      <x:c r="C2" s="5"/>
      <x:c r="D2" s="5"/>
      <x:c r="E2" s="5"/>
      <x:c r="F2" s="5"/>
    </x:row>
    <x:row r="4">
      <x:c r="A4" s="57" t="str">
        <x:v>Reference metric</x:v>
      </x:c>
      <x:c r="B4" s="59" t="str">
        <x:v>Synthetic result</x:v>
      </x:c>
    </x:row>
    <x:row r="5">
      <x:c r="A5" s="72" t="str">
        <x:v>Preferred synthetic option</x:v>
      </x:c>
      <x:c r="B5" s="74" t="str">
        <x:v>Shared regional platform</x:v>
      </x:c>
    </x:row>
    <x:row r="6">
      <x:c r="A6" s="77" t="str">
        <x:v>Reporting rule</x:v>
      </x:c>
      <x:c r="B6" s="79" t="str">
        <x:v>Present conventional and adjusted evidence separately and test double counting</x:v>
      </x:c>
    </x:row>
    <x:row r="8">
      <x:c r="A8" s="89" t="str">
        <x:v>Worked interpretation</x:v>
      </x:c>
      <x:c r="B8" s="89"/>
      <x:c r="C8" s="89"/>
      <x:c r="D8" s="89"/>
      <x:c r="E8" s="89"/>
      <x:c r="F8" s="89"/>
    </x:row>
    <x:row r="9">
      <x:c r="A9" s="94" t="str">
        <x:v>Cloud has the lowest initial cost but the highest five-year operating cost and water burden. Edge has the strongest latency and residual value but requires more capital and local maintenance. The shared regional platform has the strongest overall balance in the synthetic example, conditional on data governance, interoperability, and exit rights. Conventional net benefit should be reported first, followed by disaggregated circular and environmental evidence.</x:v>
      </x:c>
      <x:c r="B9" s="94"/>
      <x:c r="C9" s="94"/>
      <x:c r="D9" s="94"/>
      <x:c r="E9" s="94"/>
      <x:c r="F9" s="94"/>
    </x:row>
    <x:row r="10">
      <x:c r="A10" s="94"/>
      <x:c r="B10" s="94"/>
      <x:c r="C10" s="94"/>
      <x:c r="D10" s="94"/>
      <x:c r="E10" s="94"/>
      <x:c r="F10" s="94"/>
    </x:row>
    <x:row r="11">
      <x:c r="A11" s="94"/>
      <x:c r="B11" s="94"/>
      <x:c r="C11" s="94"/>
      <x:c r="D11" s="94"/>
      <x:c r="E11" s="94"/>
      <x:c r="F11" s="94"/>
    </x:row>
    <x:row r="12">
      <x:c r="A12" s="94"/>
      <x:c r="B12" s="94"/>
      <x:c r="C12" s="94"/>
      <x:c r="D12" s="94"/>
      <x:c r="E12" s="94"/>
      <x:c r="F12" s="94"/>
    </x:row>
    <x:row r="13">
      <x:c r="A13" s="94"/>
      <x:c r="B13" s="94"/>
      <x:c r="C13" s="94"/>
      <x:c r="D13" s="94"/>
      <x:c r="E13" s="94"/>
      <x:c r="F13" s="94"/>
    </x:row>
    <x:row r="15">
      <x:c r="A15" s="100" t="str">
        <x:v>Interpret calculations with evidence quality, uncertainty, mandatory safeguards, implementation capacity, monitoring, and exit conditions.</x:v>
      </x:c>
      <x:c r="B15" s="100"/>
      <x:c r="C15" s="100"/>
      <x:c r="D15" s="100"/>
      <x:c r="E15" s="100"/>
      <x:c r="F15" s="100"/>
    </x:row>
  </x:sheetData>
  <x:mergeCells>
    <x:mergeCell ref="A1:F2"/>
    <x:mergeCell ref="A8:F8"/>
    <x:mergeCell ref="A9:F13"/>
    <x:mergeCell ref="A15:F15"/>
  </x:mergeCells>
  <x:pageMargins left="0.7" right="0.7" top="0.75" bottom="0.75" header="0.3" footer="0.3"/>
</x:worksheet>
</file>