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21fbb2c93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b951a298346413b"/>
    <x:sheet xmlns:r="http://schemas.openxmlformats.org/officeDocument/2006/relationships" name="Worked Inputs" sheetId="2" r:id="R5857b5aeb08f4776"/>
    <x:sheet xmlns:r="http://schemas.openxmlformats.org/officeDocument/2006/relationships" name="Blank Template" sheetId="3" r:id="Rb1d4eee204614899"/>
    <x:sheet xmlns:r="http://schemas.openxmlformats.org/officeDocument/2006/relationships" name="Decision Summary" sheetId="4" r:id="Rbea7132bbf3c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5" xfId="0" applyNumberFormat="1" applyFont="1" applyFill="1" applyBorder="1" applyAlignment="1">
      <x:alignment horizontal="center" wrapText="1"/>
    </x:xf>
    <x:xf numFmtId="0" fontId="2" fillId="3" borderId="16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e211e2e0e466d" /><Relationship Type="http://schemas.openxmlformats.org/officeDocument/2006/relationships/theme" Target="/xl/theme/theme1.xml" Id="R4706af9e31c140c9" /><Relationship Type="http://schemas.openxmlformats.org/officeDocument/2006/relationships/sharedStrings" Target="/xl/sharedStrings.xml" Id="R80d6ed070c6c43e3" /><Relationship Type="http://schemas.openxmlformats.org/officeDocument/2006/relationships/worksheet" Target="/xl/worksheets/sheet1.xml" Id="R4b951a298346413b" /><Relationship Type="http://schemas.openxmlformats.org/officeDocument/2006/relationships/worksheet" Target="/xl/worksheets/sheet2.xml" Id="R5857b5aeb08f4776" /><Relationship Type="http://schemas.openxmlformats.org/officeDocument/2006/relationships/worksheet" Target="/xl/worksheets/sheet3.xml" Id="Rb1d4eee204614899" /><Relationship Type="http://schemas.openxmlformats.org/officeDocument/2006/relationships/worksheet" Target="/xl/worksheets/sheet4.xml" Id="Rbea7132bbf3c4af4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Five-Year Lifecycle Cost, Pricing, ROI, and Benefit Realization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AIHE-CASE06</x:v>
      </x:c>
    </x:row>
    <x:row r="5">
      <x:c r="A5" s="22" t="str">
        <x:v>Chapter</x:v>
      </x:c>
      <x:c r="B5" s="43" t="str">
        <x:v>6: Lifecycle Cost, Pricing, and Benefit Realization</x:v>
      </x:c>
    </x:row>
    <x:row r="6">
      <x:c r="A6" s="22" t="str">
        <x:v>Decision question</x:v>
      </x:c>
      <x:c r="B6" s="43" t="str">
        <x:v>Does the proposed AI service create value after all lifecycle costs, pricing exposure, and benefit-conversion conditions are included?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AIHE-B01, AIHE-B02, AIHE-B, AIHE-M, AIHE-EX17, AIHE-B03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2" max="12" width="24" hidden="0" customWidth="1"/>
    <x:col min="13" max="13" width="20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57" t="str">
        <x:v>Year</x:v>
      </x:c>
      <x:c r="B3" s="58" t="str">
        <x:v>Licence and variable fees</x:v>
      </x:c>
      <x:c r="C3" s="58" t="str">
        <x:v>Integration and data</x:v>
      </x:c>
      <x:c r="D3" s="58" t="str">
        <x:v>Training and workflow</x:v>
      </x:c>
      <x:c r="E3" s="58" t="str">
        <x:v>Monitoring and assurance</x:v>
      </x:c>
      <x:c r="F3" s="58" t="str">
        <x:v>Cybersecurity and resilience</x:v>
      </x:c>
      <x:c r="G3" s="58" t="str">
        <x:v>Update validation</x:v>
      </x:c>
      <x:c r="H3" s="59" t="str">
        <x:v>Expected benefits</x:v>
      </x:c>
      <x:c r="I3" s="57" t="str">
        <x:v>Total cost</x:v>
      </x:c>
      <x:c r="J3" s="59" t="str">
        <x:v>Net result</x:v>
      </x:c>
      <x:c r="L3" s="57" t="str">
        <x:v>Summary</x:v>
      </x:c>
      <x:c r="M3" s="59" t="str">
        <x:v>Formula result</x:v>
      </x:c>
    </x:row>
    <x:row r="4">
      <x:c r="A4" s="72" t="n">
        <x:v>1</x:v>
      </x:c>
      <x:c r="B4" s="73" t="n">
        <x:v>160000</x:v>
      </x:c>
      <x:c r="C4" s="73" t="n">
        <x:v>280000</x:v>
      </x:c>
      <x:c r="D4" s="73" t="n">
        <x:v>45000</x:v>
      </x:c>
      <x:c r="E4" s="73" t="n">
        <x:v>55000</x:v>
      </x:c>
      <x:c r="F4" s="73" t="n">
        <x:v>25000</x:v>
      </x:c>
      <x:c r="G4" s="73" t="n">
        <x:v>0</x:v>
      </x:c>
      <x:c r="H4" s="74" t="n">
        <x:v>120000</x:v>
      </x:c>
      <x:c r="I4" s="72" t="n">
        <x:f>SUM(B4:G4)</x:f>
        <x:v>565000</x:v>
      </x:c>
      <x:c r="J4" s="74" t="n">
        <x:f>H4-I4</x:f>
        <x:v>-445000</x:v>
      </x:c>
      <x:c r="L4" s="72" t="str">
        <x:v>Five-year cost</x:v>
      </x:c>
      <x:c r="M4" s="74" t="n">
        <x:f>SUM(I4:I8)</x:f>
        <x:v>1930000</x:v>
      </x:c>
    </x:row>
    <x:row r="5">
      <x:c r="A5" s="75" t="n">
        <x:v>2</x:v>
      </x:c>
      <x:c r="B5" s="40" t="n">
        <x:v>180000</x:v>
      </x:c>
      <x:c r="C5" s="40" t="n">
        <x:v>30000</x:v>
      </x:c>
      <x:c r="D5" s="40" t="n">
        <x:v>15000</x:v>
      </x:c>
      <x:c r="E5" s="40" t="n">
        <x:v>55000</x:v>
      </x:c>
      <x:c r="F5" s="40" t="n">
        <x:v>15000</x:v>
      </x:c>
      <x:c r="G5" s="40" t="n">
        <x:v>30000</x:v>
      </x:c>
      <x:c r="H5" s="76" t="n">
        <x:v>240000</x:v>
      </x:c>
      <x:c r="I5" s="75" t="n">
        <x:f>SUM(B5:G5)</x:f>
        <x:v>325000</x:v>
      </x:c>
      <x:c r="J5" s="76" t="n">
        <x:f>H5-I5</x:f>
        <x:v>-85000</x:v>
      </x:c>
      <x:c r="L5" s="75" t="str">
        <x:v>Five-year benefit</x:v>
      </x:c>
      <x:c r="M5" s="76" t="n">
        <x:f>SUM(H4:H8)</x:f>
        <x:v>1340000</x:v>
      </x:c>
    </x:row>
    <x:row r="6">
      <x:c r="A6" s="75" t="n">
        <x:v>3</x:v>
      </x:c>
      <x:c r="B6" s="40" t="n">
        <x:v>190000</x:v>
      </x:c>
      <x:c r="C6" s="40" t="n">
        <x:v>25000</x:v>
      </x:c>
      <x:c r="D6" s="40" t="n">
        <x:v>15000</x:v>
      </x:c>
      <x:c r="E6" s="40" t="n">
        <x:v>55000</x:v>
      </x:c>
      <x:c r="F6" s="40" t="n">
        <x:v>15000</x:v>
      </x:c>
      <x:c r="G6" s="40" t="n">
        <x:v>30000</x:v>
      </x:c>
      <x:c r="H6" s="76" t="n">
        <x:v>310000</x:v>
      </x:c>
      <x:c r="I6" s="75" t="n">
        <x:f>SUM(B6:G6)</x:f>
        <x:v>330000</x:v>
      </x:c>
      <x:c r="J6" s="76" t="n">
        <x:f>H6-I6</x:f>
        <x:v>-20000</x:v>
      </x:c>
      <x:c r="L6" s="75" t="str">
        <x:v>Five-year net</x:v>
      </x:c>
      <x:c r="M6" s="76" t="n">
        <x:f>M5-M4</x:f>
        <x:v>-590000</x:v>
      </x:c>
    </x:row>
    <x:row r="7">
      <x:c r="A7" s="75" t="n">
        <x:v>4</x:v>
      </x:c>
      <x:c r="B7" s="40" t="n">
        <x:v>200000</x:v>
      </x:c>
      <x:c r="C7" s="40" t="n">
        <x:v>25000</x:v>
      </x:c>
      <x:c r="D7" s="40" t="n">
        <x:v>15000</x:v>
      </x:c>
      <x:c r="E7" s="40" t="n">
        <x:v>60000</x:v>
      </x:c>
      <x:c r="F7" s="40" t="n">
        <x:v>15000</x:v>
      </x:c>
      <x:c r="G7" s="40" t="n">
        <x:v>35000</x:v>
      </x:c>
      <x:c r="H7" s="76" t="n">
        <x:v>330000</x:v>
      </x:c>
      <x:c r="I7" s="75" t="n">
        <x:f>SUM(B7:G7)</x:f>
        <x:v>350000</x:v>
      </x:c>
      <x:c r="J7" s="76" t="n">
        <x:f>H7-I7</x:f>
        <x:v>-20000</x:v>
      </x:c>
      <x:c r="L7" s="77" t="str">
        <x:v>ROI</x:v>
      </x:c>
      <x:c r="M7" s="79" t="n">
        <x:f>M6/M4</x:f>
        <x:v>-0.30569948186528495</x:v>
      </x:c>
    </x:row>
    <x:row r="8">
      <x:c r="A8" s="77" t="n">
        <x:v>5</x:v>
      </x:c>
      <x:c r="B8" s="78" t="n">
        <x:v>210000</x:v>
      </x:c>
      <x:c r="C8" s="78" t="n">
        <x:v>25000</x:v>
      </x:c>
      <x:c r="D8" s="78" t="n">
        <x:v>15000</x:v>
      </x:c>
      <x:c r="E8" s="78" t="n">
        <x:v>60000</x:v>
      </x:c>
      <x:c r="F8" s="78" t="n">
        <x:v>15000</x:v>
      </x:c>
      <x:c r="G8" s="78" t="n">
        <x:v>35000</x:v>
      </x:c>
      <x:c r="H8" s="79" t="n">
        <x:v>340000</x:v>
      </x:c>
      <x:c r="I8" s="77" t="n">
        <x:f>SUM(B8:G8)</x:f>
        <x:v>360000</x:v>
      </x:c>
      <x:c r="J8" s="79" t="n">
        <x:f>H8-I8</x:f>
        <x:v>-20000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  <x:c r="D1" s="5"/>
      <x:c r="E1" s="5"/>
      <x:c r="F1" s="5"/>
      <x:c r="G1" s="5"/>
      <x:c r="H1" s="5"/>
    </x:row>
    <x:row r="3">
      <x:c r="A3" s="57" t="str">
        <x:v>Year</x:v>
      </x:c>
      <x:c r="B3" s="58" t="str">
        <x:v>Licence and variable fees</x:v>
      </x:c>
      <x:c r="C3" s="58" t="str">
        <x:v>Integration and data</x:v>
      </x:c>
      <x:c r="D3" s="58" t="str">
        <x:v>Training and workflow</x:v>
      </x:c>
      <x:c r="E3" s="58" t="str">
        <x:v>Monitoring and assurance</x:v>
      </x:c>
      <x:c r="F3" s="58" t="str">
        <x:v>Cybersecurity and resilience</x:v>
      </x:c>
      <x:c r="G3" s="58" t="str">
        <x:v>Update validation</x:v>
      </x:c>
      <x:c r="H3" s="59" t="str">
        <x:v>Expected benefits</x:v>
      </x:c>
    </x:row>
    <x:row r="4">
      <x:c r="A4" s="72" t="n">
        <x:v>1</x:v>
      </x:c>
      <x:c r="B4" s="73" t="str"/>
      <x:c r="C4" s="73" t="str"/>
      <x:c r="D4" s="73" t="str"/>
      <x:c r="E4" s="73" t="str"/>
      <x:c r="F4" s="73" t="str"/>
      <x:c r="G4" s="73" t="str"/>
      <x:c r="H4" s="74" t="str"/>
    </x:row>
    <x:row r="5">
      <x:c r="A5" s="75" t="n">
        <x:v>2</x:v>
      </x:c>
      <x:c r="B5" s="40" t="str"/>
      <x:c r="C5" s="40" t="str"/>
      <x:c r="D5" s="40" t="str"/>
      <x:c r="E5" s="40" t="str"/>
      <x:c r="F5" s="40" t="str"/>
      <x:c r="G5" s="40" t="str"/>
      <x:c r="H5" s="76" t="str"/>
    </x:row>
    <x:row r="6">
      <x:c r="A6" s="75" t="n">
        <x:v>3</x:v>
      </x:c>
      <x:c r="B6" s="40" t="str"/>
      <x:c r="C6" s="40" t="str"/>
      <x:c r="D6" s="40" t="str"/>
      <x:c r="E6" s="40" t="str"/>
      <x:c r="F6" s="40" t="str"/>
      <x:c r="G6" s="40" t="str"/>
      <x:c r="H6" s="76" t="str"/>
    </x:row>
    <x:row r="7">
      <x:c r="A7" s="75" t="n">
        <x:v>4</x:v>
      </x:c>
      <x:c r="B7" s="40" t="str"/>
      <x:c r="C7" s="40" t="str"/>
      <x:c r="D7" s="40" t="str"/>
      <x:c r="E7" s="40" t="str"/>
      <x:c r="F7" s="40" t="str"/>
      <x:c r="G7" s="40" t="str"/>
      <x:c r="H7" s="76" t="str"/>
    </x:row>
    <x:row r="8">
      <x:c r="A8" s="77" t="n">
        <x:v>5</x:v>
      </x:c>
      <x:c r="B8" s="78" t="str"/>
      <x:c r="C8" s="78" t="str"/>
      <x:c r="D8" s="78" t="str"/>
      <x:c r="E8" s="78" t="str"/>
      <x:c r="F8" s="78" t="str"/>
      <x:c r="G8" s="78" t="str"/>
      <x:c r="H8" s="79" t="str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Five-Year Lifecycle Cost, Pricing, ROI, and Benefit Realization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Pattern</x:v>
      </x:c>
      <x:c r="B5" s="74" t="str">
        <x:v>Large Year-1 deficit with later benefit ramp-up</x:v>
      </x:c>
    </x:row>
    <x:row r="6">
      <x:c r="A6" s="77" t="str">
        <x:v>Decision</x:v>
      </x:c>
      <x:c r="B6" s="79" t="str">
        <x:v>Stage contract; cap variable fees; link renewal to verified benefits</x:v>
      </x:c>
    </x:row>
    <x:row r="8">
      <x:c r="A8" s="89" t="str">
        <x:v>Worked interpretation</x:v>
      </x:c>
      <x:c r="B8" s="89"/>
      <x:c r="C8" s="89"/>
      <x:c r="D8" s="89"/>
      <x:c r="E8" s="89"/>
      <x:c r="F8" s="89"/>
    </x:row>
    <x:row r="9">
      <x:c r="A9" s="94" t="str">
        <x:v>Year one is strongly negative because integration and data work precede benefit realization. Later years improve, but the five-year result remains sensitive to volume-linked fees and the share of time converted into usable capacity. The organization should cap variable fees, price integration and monitoring explicitly, and link renewal to verified local benefits through a staged contract with a break clause.</x:v>
      </x:c>
      <x:c r="B9" s="94"/>
      <x:c r="C9" s="94"/>
      <x:c r="D9" s="94"/>
      <x:c r="E9" s="94"/>
      <x:c r="F9" s="94"/>
    </x:row>
    <x:row r="10">
      <x:c r="A10" s="94"/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5">
      <x:c r="A15" s="100" t="str">
        <x:v>Interpret calculations with evidence quality, uncertainty, mandatory safeguards, implementation capacity, monitoring, and exit conditions.</x:v>
      </x:c>
      <x:c r="B15" s="100"/>
      <x:c r="C15" s="100"/>
      <x:c r="D15" s="100"/>
      <x:c r="E15" s="100"/>
      <x:c r="F15" s="100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