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2a612ca8b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09d47c2448034b58"/>
    <x:sheet xmlns:r="http://schemas.openxmlformats.org/officeDocument/2006/relationships" name="Worked Inputs" sheetId="2" r:id="Rd7c40c95fe5e4ba9"/>
    <x:sheet xmlns:r="http://schemas.openxmlformats.org/officeDocument/2006/relationships" name="Blank Template" sheetId="3" r:id="R26cc64819954438d"/>
    <x:sheet xmlns:r="http://schemas.openxmlformats.org/officeDocument/2006/relationships" name="Decision Summary" sheetId="4" r:id="R181715cf6a5c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15" xfId="0" applyNumberFormat="1" applyFont="1" applyFill="1" applyBorder="1" applyAlignment="1">
      <x:alignment horizontal="center" wrapText="1"/>
    </x:xf>
    <x:xf numFmtId="0" fontId="2" fillId="3" borderId="16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e8638f0f6479e" /><Relationship Type="http://schemas.openxmlformats.org/officeDocument/2006/relationships/theme" Target="/xl/theme/theme1.xml" Id="Rd5503cf15cbd411e" /><Relationship Type="http://schemas.openxmlformats.org/officeDocument/2006/relationships/sharedStrings" Target="/xl/sharedStrings.xml" Id="R817b05126c6b421a" /><Relationship Type="http://schemas.openxmlformats.org/officeDocument/2006/relationships/worksheet" Target="/xl/worksheets/sheet1.xml" Id="R09d47c2448034b58" /><Relationship Type="http://schemas.openxmlformats.org/officeDocument/2006/relationships/worksheet" Target="/xl/worksheets/sheet2.xml" Id="Rd7c40c95fe5e4ba9" /><Relationship Type="http://schemas.openxmlformats.org/officeDocument/2006/relationships/worksheet" Target="/xl/worksheets/sheet3.xml" Id="R26cc64819954438d" /><Relationship Type="http://schemas.openxmlformats.org/officeDocument/2006/relationships/worksheet" Target="/xl/worksheets/sheet4.xml" Id="R181715cf6a5c4d63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Imaging Prioritization Decision Model and Value of Information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AIHE-CASE08</x:v>
      </x:c>
    </x:row>
    <x:row r="5">
      <x:c r="A5" s="22" t="str">
        <x:v>Chapter</x:v>
      </x:c>
      <x:c r="B5" s="43" t="str">
        <x:v>8: Decision Modelling and Simulation Under Uncertainty</x:v>
      </x:c>
    </x:row>
    <x:row r="6">
      <x:c r="A6" s="22" t="str">
        <x:v>Decision question</x:v>
      </x:c>
      <x:c r="B6" s="43" t="str">
        <x:v>Which uncertainty is most likely to change the adoption decision, and is further evidence worth its cost?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AIHE-B05, AIHE-EX15, AIHE-EX16, AIHE-AA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5" max="5" width="40" hidden="0" customWidth="1"/>
    <x:col min="6" max="6" width="22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</x:row>
    <x:row r="3">
      <x:c r="A3" s="57" t="str">
        <x:v>Parameter</x:v>
      </x:c>
      <x:c r="B3" s="58" t="str">
        <x:v>Value</x:v>
      </x:c>
      <x:c r="C3" s="59" t="str">
        <x:v>Unit</x:v>
      </x:c>
      <x:c r="E3" s="57" t="str">
        <x:v>Calculation</x:v>
      </x:c>
      <x:c r="F3" s="59" t="str">
        <x:v>Formula result</x:v>
      </x:c>
    </x:row>
    <x:row r="4">
      <x:c r="A4" s="72" t="str">
        <x:v>Annual studies</x:v>
      </x:c>
      <x:c r="B4" s="73" t="n">
        <x:v>10000</x:v>
      </x:c>
      <x:c r="C4" s="74" t="str">
        <x:v>studies</x:v>
      </x:c>
      <x:c r="E4" s="72" t="str">
        <x:v>True positives</x:v>
      </x:c>
      <x:c r="F4" s="74" t="n">
        <x:f>B4*B5*B6</x:f>
        <x:v>270</x:v>
      </x:c>
    </x:row>
    <x:row r="5">
      <x:c r="A5" s="75" t="str">
        <x:v>Condition prevalence</x:v>
      </x:c>
      <x:c r="B5" s="40" t="n">
        <x:v>0.03</x:v>
      </x:c>
      <x:c r="C5" s="76" t="str">
        <x:v>proportion</x:v>
      </x:c>
      <x:c r="E5" s="75" t="str">
        <x:v>False positives</x:v>
      </x:c>
      <x:c r="F5" s="76" t="n">
        <x:f>B4*(1-B5)*(1-B7)</x:f>
        <x:v>1939.9999999999995</x:v>
      </x:c>
    </x:row>
    <x:row r="6">
      <x:c r="A6" s="75" t="str">
        <x:v>Sensitivity</x:v>
      </x:c>
      <x:c r="B6" s="40" t="n">
        <x:v>0.9</x:v>
      </x:c>
      <x:c r="C6" s="76" t="str">
        <x:v>proportion</x:v>
      </x:c>
      <x:c r="E6" s="75" t="str">
        <x:v>Incremental QALYs</x:v>
      </x:c>
      <x:c r="F6" s="76" t="n">
        <x:f>F4*B8</x:f>
        <x:v>10.8</x:v>
      </x:c>
    </x:row>
    <x:row r="7">
      <x:c r="A7" s="75" t="str">
        <x:v>Specificity</x:v>
      </x:c>
      <x:c r="B7" s="40" t="n">
        <x:v>0.8</x:v>
      </x:c>
      <x:c r="C7" s="76" t="str">
        <x:v>proportion</x:v>
      </x:c>
      <x:c r="E7" s="75" t="str">
        <x:v>Net incremental cost</x:v>
      </x:c>
      <x:c r="F7" s="76" t="n">
        <x:f>B4*B11+B12+F5*B10-F4*B9</x:f>
        <x:v>-265000</x:v>
      </x:c>
    </x:row>
    <x:row r="8">
      <x:c r="A8" s="75" t="str">
        <x:v>QALY gain per timely true positive</x:v>
      </x:c>
      <x:c r="B8" s="40" t="n">
        <x:v>0.04</x:v>
      </x:c>
      <x:c r="C8" s="76" t="str">
        <x:v>QALY</x:v>
      </x:c>
      <x:c r="E8" s="75" t="str">
        <x:v>Net monetary benefit</x:v>
      </x:c>
      <x:c r="F8" s="76" t="n">
        <x:f>B13*F6-F7</x:f>
        <x:v>805000</x:v>
      </x:c>
    </x:row>
    <x:row r="9">
      <x:c r="A9" s="75" t="str">
        <x:v>Avoided cost per timely true positive</x:v>
      </x:c>
      <x:c r="B9" s="40" t="n">
        <x:v>5000</x:v>
      </x:c>
      <x:c r="C9" s="76" t="str">
        <x:v>currency</x:v>
      </x:c>
      <x:c r="E9" s="77" t="str">
        <x:v>Expected value of additional evidence</x:v>
      </x:c>
      <x:c r="F9" s="79" t="n">
        <x:f>B14*B15</x:f>
        <x:v>70000</x:v>
      </x:c>
    </x:row>
    <x:row r="10">
      <x:c r="A10" s="75" t="str">
        <x:v>False-positive follow-up cost</x:v>
      </x:c>
      <x:c r="B10" s="40" t="n">
        <x:v>250</x:v>
      </x:c>
      <x:c r="C10" s="76" t="str">
        <x:v>currency</x:v>
      </x:c>
    </x:row>
    <x:row r="11">
      <x:c r="A11" s="75" t="str">
        <x:v>AI fee per study</x:v>
      </x:c>
      <x:c r="B11" s="40" t="n">
        <x:v>40</x:v>
      </x:c>
      <x:c r="C11" s="76" t="str">
        <x:v>currency</x:v>
      </x:c>
    </x:row>
    <x:row r="12">
      <x:c r="A12" s="75" t="str">
        <x:v>Integration cost</x:v>
      </x:c>
      <x:c r="B12" s="40" t="n">
        <x:v>200000</x:v>
      </x:c>
      <x:c r="C12" s="76" t="str">
        <x:v>currency</x:v>
      </x:c>
    </x:row>
    <x:row r="13">
      <x:c r="A13" s="75" t="str">
        <x:v>Willingness-to-pay threshold</x:v>
      </x:c>
      <x:c r="B13" s="40" t="n">
        <x:v>50000</x:v>
      </x:c>
      <x:c r="C13" s="76" t="str">
        <x:v>currency/QALY</x:v>
      </x:c>
    </x:row>
    <x:row r="14">
      <x:c r="A14" s="75" t="str">
        <x:v>Probability additional evidence changes decision</x:v>
      </x:c>
      <x:c r="B14" s="40" t="n">
        <x:v>0.2</x:v>
      </x:c>
      <x:c r="C14" s="76" t="str">
        <x:v>proportion</x:v>
      </x:c>
    </x:row>
    <x:row r="15">
      <x:c r="A15" s="77" t="str">
        <x:v>Loss if wrong decision</x:v>
      </x:c>
      <x:c r="B15" s="78" t="n">
        <x:v>350000</x:v>
      </x:c>
      <x:c r="C15" s="79" t="str">
        <x:v>currency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</x:row>
    <x:row r="3">
      <x:c r="A3" s="57" t="str">
        <x:v>Parameter</x:v>
      </x:c>
      <x:c r="B3" s="58" t="str">
        <x:v>Value</x:v>
      </x:c>
      <x:c r="C3" s="59" t="str">
        <x:v>Unit</x:v>
      </x:c>
    </x:row>
    <x:row r="4">
      <x:c r="A4" s="72" t="str">
        <x:v>Annual studies</x:v>
      </x:c>
      <x:c r="B4" s="73" t="str"/>
      <x:c r="C4" s="74" t="str">
        <x:v>studies</x:v>
      </x:c>
    </x:row>
    <x:row r="5">
      <x:c r="A5" s="75" t="str">
        <x:v>Condition prevalence</x:v>
      </x:c>
      <x:c r="B5" s="40" t="str"/>
      <x:c r="C5" s="76" t="str">
        <x:v>proportion</x:v>
      </x:c>
    </x:row>
    <x:row r="6">
      <x:c r="A6" s="75" t="str">
        <x:v>Sensitivity</x:v>
      </x:c>
      <x:c r="B6" s="40" t="str"/>
      <x:c r="C6" s="76" t="str">
        <x:v>proportion</x:v>
      </x:c>
    </x:row>
    <x:row r="7">
      <x:c r="A7" s="75" t="str">
        <x:v>Specificity</x:v>
      </x:c>
      <x:c r="B7" s="40" t="str"/>
      <x:c r="C7" s="76" t="str">
        <x:v>proportion</x:v>
      </x:c>
    </x:row>
    <x:row r="8">
      <x:c r="A8" s="75" t="str">
        <x:v>QALY gain per timely true positive</x:v>
      </x:c>
      <x:c r="B8" s="40" t="str"/>
      <x:c r="C8" s="76" t="str">
        <x:v>QALY</x:v>
      </x:c>
    </x:row>
    <x:row r="9">
      <x:c r="A9" s="75" t="str">
        <x:v>Avoided cost per timely true positive</x:v>
      </x:c>
      <x:c r="B9" s="40" t="str"/>
      <x:c r="C9" s="76" t="str">
        <x:v>currency</x:v>
      </x:c>
    </x:row>
    <x:row r="10">
      <x:c r="A10" s="75" t="str">
        <x:v>False-positive follow-up cost</x:v>
      </x:c>
      <x:c r="B10" s="40" t="str"/>
      <x:c r="C10" s="76" t="str">
        <x:v>currency</x:v>
      </x:c>
    </x:row>
    <x:row r="11">
      <x:c r="A11" s="75" t="str">
        <x:v>AI fee per study</x:v>
      </x:c>
      <x:c r="B11" s="40" t="str"/>
      <x:c r="C11" s="76" t="str">
        <x:v>currency</x:v>
      </x:c>
    </x:row>
    <x:row r="12">
      <x:c r="A12" s="75" t="str">
        <x:v>Integration cost</x:v>
      </x:c>
      <x:c r="B12" s="40" t="str"/>
      <x:c r="C12" s="76" t="str">
        <x:v>currency</x:v>
      </x:c>
    </x:row>
    <x:row r="13">
      <x:c r="A13" s="75" t="str">
        <x:v>Willingness-to-pay threshold</x:v>
      </x:c>
      <x:c r="B13" s="40" t="str"/>
      <x:c r="C13" s="76" t="str">
        <x:v>currency/QALY</x:v>
      </x:c>
    </x:row>
    <x:row r="14">
      <x:c r="A14" s="75" t="str">
        <x:v>Probability additional evidence changes decision</x:v>
      </x:c>
      <x:c r="B14" s="40" t="str"/>
      <x:c r="C14" s="76" t="str">
        <x:v>proportion</x:v>
      </x:c>
    </x:row>
    <x:row r="15">
      <x:c r="A15" s="77" t="str">
        <x:v>Loss if wrong decision</x:v>
      </x:c>
      <x:c r="B15" s="78" t="str"/>
      <x:c r="C15" s="79" t="str">
        <x:v>currency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Imaging Prioritization Decision Model and Value of Information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Decision driver</x:v>
      </x:c>
      <x:c r="B5" s="74" t="str">
        <x:v>Timely-treatment benefit and false-positive follow-up cost</x:v>
      </x:c>
    </x:row>
    <x:row r="6">
      <x:c r="A6" s="77" t="str">
        <x:v>Evidence strategy</x:v>
      </x:c>
      <x:c r="B6" s="79" t="str">
        <x:v>Silent-mode study when study cost is below expected value of information</x:v>
      </x:c>
    </x:row>
    <x:row r="8">
      <x:c r="A8" s="89" t="str">
        <x:v>Worked interpretation</x:v>
      </x:c>
      <x:c r="B8" s="89"/>
      <x:c r="C8" s="89"/>
      <x:c r="D8" s="89"/>
      <x:c r="E8" s="89"/>
      <x:c r="F8" s="89"/>
    </x:row>
    <x:row r="9">
      <x:c r="A9" s="94" t="str">
        <x:v>The model is favorable only when timely-treatment benefits and avoided downstream costs are realized. False-positive follow-up and the per-study fee are important cost drivers. A silent-mode study is justified when its cost is lower than the expected value of reducing decision uncertainty and when the study measures time to report, time to treatment, false-positive work-up, and capacity effects.</x:v>
      </x:c>
      <x:c r="B9" s="94"/>
      <x:c r="C9" s="94"/>
      <x:c r="D9" s="94"/>
      <x:c r="E9" s="94"/>
      <x:c r="F9" s="94"/>
    </x:row>
    <x:row r="10">
      <x:c r="A10" s="94"/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5">
      <x:c r="A15" s="100" t="str">
        <x:v>Interpret calculations with evidence quality, uncertainty, mandatory safeguards, implementation capacity, monitoring, and exit conditions.</x:v>
      </x:c>
      <x:c r="B15" s="100"/>
      <x:c r="C15" s="100"/>
      <x:c r="D15" s="100"/>
      <x:c r="E15" s="100"/>
      <x:c r="F15" s="100"/>
    </x:row>
  </x:sheetData>
  <x:mergeCells>
    <x:mergeCell ref="A1:F2"/>
    <x:mergeCell ref="A8:F8"/>
    <x:mergeCell ref="A9:F13"/>
    <x:mergeCell ref="A15:F15"/>
  </x:mergeCells>
  <x:pageMargins left="0.7" right="0.7" top="0.75" bottom="0.75" header="0.3" footer="0.3"/>
</x:worksheet>
</file>