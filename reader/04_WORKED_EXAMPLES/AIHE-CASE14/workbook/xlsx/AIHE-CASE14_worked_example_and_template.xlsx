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9f44a384c47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53ee6cffcc6244ca"/>
    <x:sheet xmlns:r="http://schemas.openxmlformats.org/officeDocument/2006/relationships" name="Worked Inputs" sheetId="2" r:id="Ra5601a3a6cd1467e"/>
    <x:sheet xmlns:r="http://schemas.openxmlformats.org/officeDocument/2006/relationships" name="Blank Template" sheetId="3" r:id="R87a0fe23be3346db"/>
    <x:sheet xmlns:r="http://schemas.openxmlformats.org/officeDocument/2006/relationships" name="Decision Summary" sheetId="4" r:id="Rf05d2332f36340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horizontal="center" wrapText="1"/>
    </x:xf>
    <x:xf numFmtId="0" fontId="2" fillId="3" borderId="15" xfId="0" applyNumberFormat="1" applyFont="1" applyFill="1" applyBorder="1" applyAlignment="1">
      <x:alignment horizontal="center" wrapText="1"/>
    </x:xf>
    <x:xf numFmtId="0" fontId="2" fillId="3" borderId="16" xfId="0" applyNumberFormat="1" applyFont="1" applyFill="1" applyBorder="1" applyAlignment="1">
      <x:alignment horizontal="center" wrapText="1"/>
    </x:xf>
    <x:xf numFmtId="0" fontId="2" fillId="3" borderId="14" xfId="0" applyNumberFormat="1" applyFont="1" applyFill="1" applyBorder="1" applyAlignment="1">
      <x:alignment horizontal="center" vertical="center" wrapText="1"/>
    </x:xf>
    <x:xf numFmtId="0" fontId="2" fillId="3" borderId="15" xfId="0" applyNumberFormat="1" applyFont="1" applyFill="1" applyBorder="1" applyAlignment="1">
      <x:alignment horizontal="center" vertical="center" wrapText="1"/>
    </x:xf>
    <x:xf numFmtId="0" fontId="2" fillId="3" borderId="16" xfId="0" applyNumberFormat="1" applyFont="1" applyFill="1" applyBorder="1" applyAlignment="1">
      <x:alignment horizontal="center" vertical="center"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horizontal="center" wrapText="1"/>
    </x:xf>
    <x:xf numFmtId="0" fontId="2" fillId="3" borderId="18" xfId="0" applyNumberFormat="1" applyFont="1" applyFill="1" applyBorder="1" applyAlignment="1">
      <x:alignment horizontal="center" wrapText="1"/>
    </x:xf>
    <x:xf numFmtId="0" fontId="2" fillId="3" borderId="19" xfId="0" applyNumberFormat="1" applyFont="1" applyFill="1" applyBorder="1" applyAlignment="1">
      <x:alignment horizontal="center" wrapText="1"/>
    </x:xf>
    <x:xf numFmtId="0" fontId="2" fillId="3" borderId="17" xfId="0" applyNumberFormat="1" applyFont="1" applyFill="1" applyBorder="1" applyAlignment="1">
      <x:alignment horizontal="center" vertical="center" wrapText="1"/>
    </x:xf>
    <x:xf numFmtId="0" fontId="2" fillId="3" borderId="18" xfId="0" applyNumberFormat="1" applyFont="1" applyFill="1" applyBorder="1" applyAlignment="1">
      <x:alignment horizontal="center" vertical="center" wrapText="1"/>
    </x:xf>
    <x:xf numFmtId="0" fontId="2" fillId="3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aabfa13ad3494d" /><Relationship Type="http://schemas.openxmlformats.org/officeDocument/2006/relationships/theme" Target="/xl/theme/theme1.xml" Id="Rad6e32b572c942bb" /><Relationship Type="http://schemas.openxmlformats.org/officeDocument/2006/relationships/sharedStrings" Target="/xl/sharedStrings.xml" Id="R9fe523e5fa224b7e" /><Relationship Type="http://schemas.openxmlformats.org/officeDocument/2006/relationships/worksheet" Target="/xl/worksheets/sheet1.xml" Id="R53ee6cffcc6244ca" /><Relationship Type="http://schemas.openxmlformats.org/officeDocument/2006/relationships/worksheet" Target="/xl/worksheets/sheet2.xml" Id="Ra5601a3a6cd1467e" /><Relationship Type="http://schemas.openxmlformats.org/officeDocument/2006/relationships/worksheet" Target="/xl/worksheets/sheet3.xml" Id="R87a0fe23be3346db" /><Relationship Type="http://schemas.openxmlformats.org/officeDocument/2006/relationships/worksheet" Target="/xl/worksheets/sheet4.xml" Id="Rf05d2332f36340ae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5" t="str">
        <x:v>Imaging Platform: Maintain, Refurbish, Replace, or Share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21" t="str">
        <x:v>Example ID</x:v>
      </x:c>
      <x:c r="B4" s="42" t="str">
        <x:v>AIHE-CASE14</x:v>
      </x:c>
    </x:row>
    <x:row r="5">
      <x:c r="A5" s="22" t="str">
        <x:v>Chapter</x:v>
      </x:c>
      <x:c r="B5" s="43" t="str">
        <x:v>14: Circular Procurement and Asset Stewardship</x:v>
      </x:c>
    </x:row>
    <x:row r="6">
      <x:c r="A6" s="22" t="str">
        <x:v>Decision question</x:v>
      </x:c>
      <x:c r="B6" s="43" t="str">
        <x:v>Which asset-life strategy preserves safe service value while controlling lifecycle cost, downtime, material demand, and dependency?</x:v>
      </x:c>
    </x:row>
    <x:row r="7">
      <x:c r="A7" s="22" t="str">
        <x:v>Status</x:v>
      </x:c>
      <x:c r="B7" s="43" t="str">
        <x:v>Synthetic demonstration only</x:v>
      </x:c>
    </x:row>
    <x:row r="8">
      <x:c r="A8" s="22" t="str">
        <x:v>Version</x:v>
      </x:c>
      <x:c r="B8" s="43" t="str">
        <x:v>V1.0</x:v>
      </x:c>
    </x:row>
    <x:row r="9">
      <x:c r="A9" s="22" t="str">
        <x:v>Release date</x:v>
      </x:c>
      <x:c r="B9" s="43" t="str">
        <x:v>2026-08-06</x:v>
      </x:c>
    </x:row>
    <x:row r="10">
      <x:c r="A10" s="22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22" t="str">
        <x:v>Related resources</x:v>
      </x:c>
      <x:c r="B11" s="43" t="str">
        <x:v>AIHE-E02, AIHE-E03, AIHE-CE2, AIHE-CE3, AIHE-D01, AIHE-T</x:v>
      </x:c>
    </x:row>
    <x:row r="12">
      <x:c r="A12" s="23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4" hidden="0" customWidth="1"/>
  </x:cols>
  <x:sheetData>
    <x:row r="1">
      <x:c r="A1" s="5" t="str">
        <x:v>Worked synthetic inputs and calculations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57" t="str">
        <x:v>Option</x:v>
      </x:c>
      <x:c r="B3" s="58" t="str">
        <x:v>Five-year cost</x:v>
      </x:c>
      <x:c r="C3" s="58" t="str">
        <x:v>Remaining supported life (years)</x:v>
      </x:c>
      <x:c r="D3" s="58" t="str">
        <x:v>Downtime days/year</x:v>
      </x:c>
      <x:c r="E3" s="58" t="str">
        <x:v>Energy kWh/year</x:v>
      </x:c>
      <x:c r="F3" s="58" t="str">
        <x:v>Validation burden (1-5)</x:v>
      </x:c>
      <x:c r="G3" s="58" t="str">
        <x:v>Resilience (1-5)</x:v>
      </x:c>
      <x:c r="H3" s="58" t="str">
        <x:v>Residual value</x:v>
      </x:c>
      <x:c r="I3" s="59" t="str">
        <x:v>Safety status</x:v>
      </x:c>
      <x:c r="J3" s="57" t="str">
        <x:v>Net five-year cost</x:v>
      </x:c>
      <x:c r="K3" s="59" t="str">
        <x:v>Illustrative decision score</x:v>
      </x:c>
    </x:row>
    <x:row r="4">
      <x:c r="A4" s="72" t="str">
        <x:v>Maintain and repair</x:v>
      </x:c>
      <x:c r="B4" s="73" t="n">
        <x:v>1100000</x:v>
      </x:c>
      <x:c r="C4" s="73" t="n">
        <x:v>3</x:v>
      </x:c>
      <x:c r="D4" s="73" t="n">
        <x:v>12</x:v>
      </x:c>
      <x:c r="E4" s="73" t="n">
        <x:v>400000</x:v>
      </x:c>
      <x:c r="F4" s="73" t="n">
        <x:v>2</x:v>
      </x:c>
      <x:c r="G4" s="73" t="n">
        <x:v>3</x:v>
      </x:c>
      <x:c r="H4" s="73" t="n">
        <x:v>100000</x:v>
      </x:c>
      <x:c r="I4" s="74" t="str">
        <x:v>Conditional</x:v>
      </x:c>
      <x:c r="J4" s="72" t="n">
        <x:f>B4-H4</x:f>
        <x:v>1000000</x:v>
      </x:c>
      <x:c r="K4" s="74" t="n">
        <x:f>IF(I4="Pass",20,5)+25*(1-J4/3300000)+15*(C4/8)+10*(1-D4/15)+10*(1-E4/450000)+10*(G4/5)+10*(1-F4/5)</x:f>
        <x:v>43.160353535353536</x:v>
      </x:c>
    </x:row>
    <x:row r="5">
      <x:c r="A5" s="75" t="str">
        <x:v>Refurbish and upgrade</x:v>
      </x:c>
      <x:c r="B5" s="40" t="n">
        <x:v>1800000</x:v>
      </x:c>
      <x:c r="C5" s="40" t="n">
        <x:v>5</x:v>
      </x:c>
      <x:c r="D5" s="40" t="n">
        <x:v>8</x:v>
      </x:c>
      <x:c r="E5" s="40" t="n">
        <x:v>330000</x:v>
      </x:c>
      <x:c r="F5" s="40" t="n">
        <x:v>4</x:v>
      </x:c>
      <x:c r="G5" s="40" t="n">
        <x:v>4</x:v>
      </x:c>
      <x:c r="H5" s="40" t="n">
        <x:v>250000</x:v>
      </x:c>
      <x:c r="I5" s="76" t="str">
        <x:v>Pass</x:v>
      </x:c>
      <x:c r="J5" s="75" t="n">
        <x:f>B5-H5</x:f>
        <x:v>1550000</x:v>
      </x:c>
      <x:c r="K5" s="76" t="n">
        <x:f>IF(I5="Pass",20,5)+25*(1-J5/3300000)+15*(C5/8)+10*(1-D5/15)+10*(1-E5/450000)+10*(G5/5)+10*(1-F5/5)</x:f>
        <x:v>59.965909090909086</x:v>
      </x:c>
    </x:row>
    <x:row r="6">
      <x:c r="A6" s="75" t="str">
        <x:v>Replace</x:v>
      </x:c>
      <x:c r="B6" s="40" t="n">
        <x:v>3200000</x:v>
      </x:c>
      <x:c r="C6" s="40" t="n">
        <x:v>8</x:v>
      </x:c>
      <x:c r="D6" s="40" t="n">
        <x:v>4</x:v>
      </x:c>
      <x:c r="E6" s="40" t="n">
        <x:v>250000</x:v>
      </x:c>
      <x:c r="F6" s="40" t="n">
        <x:v>5</x:v>
      </x:c>
      <x:c r="G6" s="40" t="n">
        <x:v>4</x:v>
      </x:c>
      <x:c r="H6" s="40" t="n">
        <x:v>500000</x:v>
      </x:c>
      <x:c r="I6" s="76" t="str">
        <x:v>Pass</x:v>
      </x:c>
      <x:c r="J6" s="75" t="n">
        <x:f>B6-H6</x:f>
        <x:v>2700000</x:v>
      </x:c>
      <x:c r="K6" s="76" t="n">
        <x:f>IF(I6="Pass",20,5)+25*(1-J6/3300000)+15*(C6/8)+10*(1-D6/15)+10*(1-E6/450000)+10*(G6/5)+10*(1-F6/5)</x:f>
        <x:v>59.323232323232325</x:v>
      </x:c>
    </x:row>
    <x:row r="7">
      <x:c r="A7" s="77" t="str">
        <x:v>Shared managed service</x:v>
      </x:c>
      <x:c r="B7" s="78" t="n">
        <x:v>2400000</x:v>
      </x:c>
      <x:c r="C7" s="78" t="n">
        <x:v>5</x:v>
      </x:c>
      <x:c r="D7" s="78" t="n">
        <x:v>6</x:v>
      </x:c>
      <x:c r="E7" s="78" t="n">
        <x:v>0</x:v>
      </x:c>
      <x:c r="F7" s="78" t="n">
        <x:v>4</x:v>
      </x:c>
      <x:c r="G7" s="78" t="n">
        <x:v>3</x:v>
      </x:c>
      <x:c r="H7" s="78" t="n">
        <x:v>0</x:v>
      </x:c>
      <x:c r="I7" s="79" t="str">
        <x:v>Pass</x:v>
      </x:c>
      <x:c r="J7" s="77" t="n">
        <x:f>B7-H7</x:f>
        <x:v>2400000</x:v>
      </x:c>
      <x:c r="K7" s="79" t="n">
        <x:f>IF(I7="Pass",20,5)+25*(1-J7/3300000)+15*(C7/8)+10*(1-D7/15)+10*(1-E7/450000)+10*(G7/5)+10*(1-F7/5)</x:f>
        <x:v>60.19318181818181</x:v>
      </x:c>
    </x:row>
  </x:sheetData>
  <x:mergeCells>
    <x:mergeCell ref="A1:N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5" t="str">
        <x:v>Blank template - replace synthetic values with governed local evidence</x:v>
      </x:c>
      <x:c r="B1" s="5"/>
      <x:c r="C1" s="5"/>
      <x:c r="D1" s="5"/>
      <x:c r="E1" s="5"/>
      <x:c r="F1" s="5"/>
      <x:c r="G1" s="5"/>
      <x:c r="H1" s="5"/>
      <x:c r="I1" s="5"/>
    </x:row>
    <x:row r="3">
      <x:c r="A3" s="57" t="str">
        <x:v>Option</x:v>
      </x:c>
      <x:c r="B3" s="58" t="str">
        <x:v>Five-year cost</x:v>
      </x:c>
      <x:c r="C3" s="58" t="str">
        <x:v>Remaining supported life (years)</x:v>
      </x:c>
      <x:c r="D3" s="58" t="str">
        <x:v>Downtime days/year</x:v>
      </x:c>
      <x:c r="E3" s="58" t="str">
        <x:v>Energy kWh/year</x:v>
      </x:c>
      <x:c r="F3" s="58" t="str">
        <x:v>Validation burden (1-5)</x:v>
      </x:c>
      <x:c r="G3" s="58" t="str">
        <x:v>Resilience (1-5)</x:v>
      </x:c>
      <x:c r="H3" s="58" t="str">
        <x:v>Residual value</x:v>
      </x:c>
      <x:c r="I3" s="59" t="str">
        <x:v>Safety status</x:v>
      </x:c>
    </x:row>
    <x:row r="4">
      <x:c r="A4" s="72" t="str">
        <x:v>Maintain and repair</x:v>
      </x:c>
      <x:c r="B4" s="73" t="str"/>
      <x:c r="C4" s="73" t="str"/>
      <x:c r="D4" s="73" t="str"/>
      <x:c r="E4" s="73" t="str"/>
      <x:c r="F4" s="73" t="str"/>
      <x:c r="G4" s="73" t="str"/>
      <x:c r="H4" s="73" t="str"/>
      <x:c r="I4" s="74" t="str">
        <x:v>Conditional</x:v>
      </x:c>
    </x:row>
    <x:row r="5">
      <x:c r="A5" s="75" t="str">
        <x:v>Refurbish and upgrade</x:v>
      </x:c>
      <x:c r="B5" s="40" t="str"/>
      <x:c r="C5" s="40" t="str"/>
      <x:c r="D5" s="40" t="str"/>
      <x:c r="E5" s="40" t="str"/>
      <x:c r="F5" s="40" t="str"/>
      <x:c r="G5" s="40" t="str"/>
      <x:c r="H5" s="40" t="str"/>
      <x:c r="I5" s="76" t="str">
        <x:v>Pass</x:v>
      </x:c>
    </x:row>
    <x:row r="6">
      <x:c r="A6" s="75" t="str">
        <x:v>Replace</x:v>
      </x:c>
      <x:c r="B6" s="40" t="str"/>
      <x:c r="C6" s="40" t="str"/>
      <x:c r="D6" s="40" t="str"/>
      <x:c r="E6" s="40" t="str"/>
      <x:c r="F6" s="40" t="str"/>
      <x:c r="G6" s="40" t="str"/>
      <x:c r="H6" s="40" t="str"/>
      <x:c r="I6" s="76" t="str">
        <x:v>Pass</x:v>
      </x:c>
    </x:row>
    <x:row r="7">
      <x:c r="A7" s="77" t="str">
        <x:v>Shared managed service</x:v>
      </x:c>
      <x:c r="B7" s="78" t="str"/>
      <x:c r="C7" s="78" t="str"/>
      <x:c r="D7" s="78" t="str"/>
      <x:c r="E7" s="78" t="str"/>
      <x:c r="F7" s="78" t="str"/>
      <x:c r="G7" s="78" t="str"/>
      <x:c r="H7" s="78" t="str"/>
      <x:c r="I7" s="79" t="str">
        <x:v>Pass</x:v>
      </x:c>
    </x:row>
  </x:sheetData>
  <x:mergeCells>
    <x:mergeCell ref="A1:I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5" t="str">
        <x:v>Imaging Platform: Maintain, Refurbish, Replace, or Share</x:v>
      </x:c>
      <x:c r="B1" s="5"/>
      <x:c r="C1" s="5"/>
      <x:c r="D1" s="5"/>
      <x:c r="E1" s="5"/>
      <x:c r="F1" s="5"/>
    </x:row>
    <x:row r="2">
      <x:c r="A2" s="5"/>
      <x:c r="B2" s="5"/>
      <x:c r="C2" s="5"/>
      <x:c r="D2" s="5"/>
      <x:c r="E2" s="5"/>
      <x:c r="F2" s="5"/>
    </x:row>
    <x:row r="4">
      <x:c r="A4" s="57" t="str">
        <x:v>Reference metric</x:v>
      </x:c>
      <x:c r="B4" s="59" t="str">
        <x:v>Synthetic result</x:v>
      </x:c>
    </x:row>
    <x:row r="5">
      <x:c r="A5" s="72" t="str">
        <x:v>Preferred synthetic option</x:v>
      </x:c>
      <x:c r="B5" s="74" t="str">
        <x:v>Conditional refurbishment</x:v>
      </x:c>
    </x:row>
    <x:row r="6">
      <x:c r="A6" s="77" t="str">
        <x:v>Replacement trigger</x:v>
      </x:c>
      <x:c r="B6" s="79" t="str">
        <x:v>Safety, support, cybersecurity, reliability, or validation failure</x:v>
      </x:c>
    </x:row>
    <x:row r="8">
      <x:c r="A8" s="89" t="str">
        <x:v>Worked interpretation</x:v>
      </x:c>
      <x:c r="B8" s="89"/>
      <x:c r="C8" s="89"/>
      <x:c r="D8" s="89"/>
      <x:c r="E8" s="89"/>
      <x:c r="F8" s="89"/>
    </x:row>
    <x:row r="9">
      <x:c r="A9" s="94" t="str">
        <x:v>Maintaining appears cheapest but is conditional on safety, cybersecurity support, and parts availability. Refurbishment provides a defensible middle option when validation confirms performance and the supplier commits to support. The recommended decision is conditional refurbishment with a funded fallback, take-back agreement, and a replacement trigger if reliability, support, or validation thresholds are breached.</x:v>
      </x:c>
      <x:c r="B9" s="94"/>
      <x:c r="C9" s="94"/>
      <x:c r="D9" s="94"/>
      <x:c r="E9" s="94"/>
      <x:c r="F9" s="94"/>
    </x:row>
    <x:row r="10">
      <x:c r="A10" s="94"/>
      <x:c r="B10" s="94"/>
      <x:c r="C10" s="94"/>
      <x:c r="D10" s="94"/>
      <x:c r="E10" s="94"/>
      <x:c r="F10" s="94"/>
    </x:row>
    <x:row r="11">
      <x:c r="A11" s="94"/>
      <x:c r="B11" s="94"/>
      <x:c r="C11" s="94"/>
      <x:c r="D11" s="94"/>
      <x:c r="E11" s="94"/>
      <x:c r="F11" s="94"/>
    </x:row>
    <x:row r="12">
      <x:c r="A12" s="94"/>
      <x:c r="B12" s="94"/>
      <x:c r="C12" s="94"/>
      <x:c r="D12" s="94"/>
      <x:c r="E12" s="94"/>
      <x:c r="F12" s="94"/>
    </x:row>
    <x:row r="13">
      <x:c r="A13" s="94"/>
      <x:c r="B13" s="94"/>
      <x:c r="C13" s="94"/>
      <x:c r="D13" s="94"/>
      <x:c r="E13" s="94"/>
      <x:c r="F13" s="94"/>
    </x:row>
    <x:row r="15">
      <x:c r="A15" s="100" t="str">
        <x:v>Interpret calculations with evidence quality, uncertainty, mandatory safeguards, implementation capacity, monitoring, and exit conditions.</x:v>
      </x:c>
      <x:c r="B15" s="100"/>
      <x:c r="C15" s="100"/>
      <x:c r="D15" s="100"/>
      <x:c r="E15" s="100"/>
      <x:c r="F15" s="100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